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4657c45dee4641" /></Relationships>
</file>

<file path=xl/workbook.xml><?xml version="1.0" encoding="utf-8"?>
<x:workbook xmlns:x="http://schemas.openxmlformats.org/spreadsheetml/2006/main">
  <x:sheets>
    <x:sheet xmlns:r="http://schemas.openxmlformats.org/officeDocument/2006/relationships" name="Cover" sheetId="1" r:id="Rcefb2b36b56a4834"/>
    <x:sheet xmlns:r="http://schemas.openxmlformats.org/officeDocument/2006/relationships" name="Assumptions" sheetId="2" r:id="Rfd9ab73516424ac7"/>
    <x:sheet xmlns:r="http://schemas.openxmlformats.org/officeDocument/2006/relationships" name="Forecast" sheetId="3" r:id="R565916bbd5f84d02"/>
    <x:sheet xmlns:r="http://schemas.openxmlformats.org/officeDocument/2006/relationships" name="Unit Economics" sheetId="4" r:id="R70b18f019b124892"/>
    <x:sheet xmlns:r="http://schemas.openxmlformats.org/officeDocument/2006/relationships" name="Checks" sheetId="5" r:id="R37beb0debe8c4568"/>
    <x:sheet xmlns:r="http://schemas.openxmlformats.org/officeDocument/2006/relationships" name="Sources" sheetId="6" r:id="Rf7577d71afb848d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quot;$&quot;#,##0;[Red](&quot;$&quot;#,##0);-"/>
    <x:numFmt numFmtId="201" formatCode="0.0%"/>
    <x:numFmt numFmtId="202" formatCode="0"/>
    <x:numFmt numFmtId="203" formatCode="&quot;$&quot;#,##0.00;[Red](&quot;$&quot;#,##0.00);-"/>
  </x:numFmts>
  <x:fonts count="18">
    <x:font>
      <x:sz val="11"/>
      <x:name val="Carlito"/>
    </x:font>
    <x:font>
      <x:b/>
      <x:sz val="18"/>
      <x:color rgb="FFFFFFFF"/>
      <x:name val="Carlito"/>
    </x:font>
    <x:font>
      <x:sz val="12"/>
      <x:color rgb="FF5F6B76"/>
      <x:name val="Carlito"/>
    </x:font>
    <x:font>
      <x:b/>
      <x:sz val="11"/>
      <x:color rgb="FF17324D"/>
      <x:name val="Carlito"/>
    </x:font>
    <x:font>
      <x:b/>
      <x:sz val="11"/>
      <x:color rgb="FF007F7B"/>
      <x:name val="Carlito"/>
    </x:font>
    <x:font>
      <x:b/>
      <x:sz val="11"/>
      <x:color rgb="FF765D00"/>
      <x:name val="Carlito"/>
    </x:font>
    <x:font>
      <x:b/>
      <x:sz val="11"/>
      <x:color rgb="FFFFFFFF"/>
      <x:name val="Carlito"/>
    </x:font>
    <x:font>
      <x:b/>
      <x:sz val="11"/>
      <x:color rgb="FF5F6B76"/>
      <x:name val="Carlito"/>
    </x:font>
    <x:font>
      <x:b/>
      <x:sz val="16"/>
      <x:color rgb="FF17324D"/>
      <x:name val="Carlito"/>
    </x:font>
    <x:font>
      <x:sz val="11"/>
      <x:color rgb="FF5D4B00"/>
      <x:name val="Carlito"/>
    </x:font>
    <x:font>
      <x:sz val="11"/>
      <x:color rgb="FF1F5AA6"/>
      <x:name val="Carlito"/>
    </x:font>
    <x:font>
      <x:sz val="11"/>
      <x:color rgb="FF111820"/>
      <x:name val="Carlito"/>
    </x:font>
    <x:font>
      <x:sz val="11"/>
      <x:color rgb="FF5F6B76"/>
      <x:name val="Carlito"/>
    </x:font>
    <x:font>
      <x:b/>
      <x:sz val="14"/>
      <x:color rgb="FF007F7B"/>
      <x:name val="Carlito"/>
    </x:font>
    <x:font>
      <x:b/>
      <x:sz val="10"/>
      <x:color rgb="FF111820"/>
      <x:name val="Aptos"/>
    </x:font>
    <x:font>
      <x:sz val="10"/>
      <x:color rgb="FF111820"/>
      <x:name val="Aptos"/>
    </x:font>
    <x:font>
      <x:b/>
      <x:sz val="18"/>
      <x:color rgb="FFFFFFFF"/>
      <x:name val="Aptos Display"/>
    </x:font>
    <x:font>
      <x:b/>
      <x:sz val="11"/>
      <x:color rgb="FFFFFFFF"/>
      <x:name val="Aptos"/>
    </x:font>
  </x:fonts>
  <x:fills count="9">
    <x:fill>
      <x:patternFill patternType="none"/>
    </x:fill>
    <x:fill>
      <x:patternFill patternType="gray125"/>
    </x:fill>
    <x:fill>
      <x:patternFill patternType="solid">
        <x:fgColor rgb="FF17324D"/>
      </x:patternFill>
    </x:fill>
    <x:fill>
      <x:patternFill patternType="solid">
        <x:fgColor rgb="FFE4F2E8"/>
      </x:patternFill>
    </x:fill>
    <x:fill>
      <x:patternFill patternType="solid">
        <x:fgColor rgb="FFFFF3CD"/>
      </x:patternFill>
    </x:fill>
    <x:fill>
      <x:patternFill patternType="solid">
        <x:fgColor rgb="FF007F7B"/>
      </x:patternFill>
    </x:fill>
    <x:fill>
      <x:patternFill patternType="solid">
        <x:fgColor rgb="FFDDEFEA"/>
      </x:patternFill>
    </x:fill>
    <x:fill>
      <x:patternFill patternType="solid">
        <x:fgColor rgb="FFE8F0F7"/>
      </x:patternFill>
    </x:fill>
    <x:fill>
      <x:patternFill patternType="solid">
        <x:fgColor rgb="FFF4F8FC"/>
      </x:patternFill>
    </x:fill>
  </x:fills>
  <x:borders count="20">
    <x:border/>
    <x:border>
      <x:left style="thin">
        <x:color rgb="FF007F7B"/>
      </x:left>
      <x:right style="thin">
        <x:color rgb="FF007F7B"/>
      </x:right>
      <x:top style="thin">
        <x:color rgb="FF007F7B"/>
      </x:top>
      <x:bottom style="thin">
        <x:color rgb="FF007F7B"/>
      </x:bottom>
    </x:border>
    <x:border>
      <x:left style="thin">
        <x:color rgb="FFD8B84C"/>
      </x:left>
      <x:top style="thin">
        <x:color rgb="FFD8B84C"/>
      </x:top>
    </x:border>
    <x:border>
      <x:top style="thin">
        <x:color rgb="FFD8B84C"/>
      </x:top>
    </x:border>
    <x:border>
      <x:right style="thin">
        <x:color rgb="FFD8B84C"/>
      </x:right>
      <x:top style="thin">
        <x:color rgb="FFD8B84C"/>
      </x:top>
    </x:border>
    <x:border>
      <x:left style="thin">
        <x:color rgb="FFD8B84C"/>
      </x:left>
    </x:border>
    <x:border>
      <x:right style="thin">
        <x:color rgb="FFD8B84C"/>
      </x:right>
    </x:border>
    <x:border>
      <x:left style="thin">
        <x:color rgb="FFD8B84C"/>
      </x:left>
      <x:bottom style="thin">
        <x:color rgb="FFD8B84C"/>
      </x:bottom>
    </x:border>
    <x:border>
      <x:bottom style="thin">
        <x:color rgb="FFD8B84C"/>
      </x:bottom>
    </x:border>
    <x:border>
      <x:right style="thin">
        <x:color rgb="FFD8B84C"/>
      </x:right>
      <x:bottom style="thin">
        <x:color rgb="FFD8B84C"/>
      </x:bottom>
    </x:border>
    <x:border>
      <x:bottom style="double">
        <x:color rgb="FF17324D"/>
      </x:bottom>
    </x:border>
    <x:border>
      <x:left style="thin">
        <x:color rgb="FFE2E8EE"/>
      </x:left>
      <x:top style="thin">
        <x:color rgb="FFE2E8EE"/>
      </x:top>
    </x:border>
    <x:border>
      <x:right style="thin">
        <x:color rgb="FFE2E8EE"/>
      </x:right>
      <x:top style="thin">
        <x:color rgb="FFE2E8EE"/>
      </x:top>
    </x:border>
    <x:border>
      <x:left style="thin">
        <x:color rgb="FFE2E8EE"/>
      </x:left>
    </x:border>
    <x:border>
      <x:right style="thin">
        <x:color rgb="FFE2E8EE"/>
      </x:right>
    </x:border>
    <x:border>
      <x:left style="thin">
        <x:color rgb="FFE2E8EE"/>
      </x:left>
      <x:bottom style="thin">
        <x:color rgb="FFE2E8EE"/>
      </x:bottom>
    </x:border>
    <x:border>
      <x:right style="thin">
        <x:color rgb="FFE2E8EE"/>
      </x:right>
      <x:bottom style="thin">
        <x:color rgb="FFE2E8EE"/>
      </x:bottom>
    </x:border>
    <x:border>
      <x:top style="thin">
        <x:color rgb="FFE2E8EE"/>
      </x:top>
    </x:border>
    <x:border>
      <x:bottom style="thin">
        <x:color rgb="FFE2E8EE"/>
      </x:bottom>
    </x:border>
    <x:border>
      <x:top style="thin">
        <x:color rgb="FF17324D"/>
      </x:top>
    </x:border>
  </x:borders>
  <x:cellStyleXfs count="1">
    <x:xf numFmtId="0" fontId="0" fillId="0" borderId="0"/>
  </x:cellStyleXfs>
  <x:cellXfs count="19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wrapText="1"/>
    </x:xf>
    <x:xf numFmtId="0" fontId="3" fillId="0" borderId="0" xfId="0" applyNumberFormat="1" applyFont="1" applyFill="1" applyBorder="1"/>
    <x:xf numFmtId="0" fontId="0"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4"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5" fillId="4" borderId="0" xfId="0" applyNumberFormat="1" applyFont="1" applyFill="1" applyBorder="1" applyAlignment="1">
      <x:alignment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horizontal="left"/>
    </x:xf>
    <x:xf numFmtId="0" fontId="6" fillId="5" borderId="0" xfId="0" applyNumberFormat="1" applyFont="1" applyFill="1" applyBorder="1" applyAlignment="1">
      <x:alignment horizontal="left" vertical="center"/>
    </x:xf>
    <x:xf numFmtId="0" fontId="7" fillId="0" borderId="0" xfId="0" applyNumberFormat="1" applyFont="1" applyFill="1" applyBorder="1"/>
    <x:xf numFmtId="0" fontId="7" fillId="0" borderId="0" xfId="0" applyNumberFormat="1" applyFont="1" applyFill="1" applyBorder="1" applyAlignment="1">
      <x:alignment wrapText="1"/>
    </x:xf>
    <x:xf numFmtId="200" fontId="0" fillId="0" borderId="0" xfId="0" applyNumberFormat="1" applyFont="1" applyFill="1" applyBorder="1"/>
    <x:xf numFmtId="201" fontId="0" fillId="0" borderId="0" xfId="0" applyNumberFormat="1" applyFont="1" applyFill="1" applyBorder="1"/>
    <x:xf numFmtId="200" fontId="0" fillId="6" borderId="0" xfId="0" applyNumberFormat="1" applyFont="1" applyFill="1" applyBorder="1"/>
    <x:xf numFmtId="200" fontId="8" fillId="6" borderId="0" xfId="0" applyNumberFormat="1" applyFont="1" applyFill="1" applyBorder="1"/>
    <x:xf numFmtId="200" fontId="8" fillId="6" borderId="1" xfId="0" applyNumberFormat="1" applyFont="1" applyFill="1" applyBorder="1"/>
    <x:xf numFmtId="0" fontId="0" fillId="4" borderId="0" xfId="0" applyNumberFormat="1" applyFont="1" applyFill="1" applyBorder="1"/>
    <x:xf numFmtId="0" fontId="9" fillId="4" borderId="0" xfId="0" applyNumberFormat="1" applyFont="1" applyFill="1" applyBorder="1"/>
    <x:xf numFmtId="0" fontId="9" fillId="4" borderId="2" xfId="0" applyNumberFormat="1" applyFont="1" applyFill="1" applyBorder="1"/>
    <x:xf numFmtId="0" fontId="9" fillId="4" borderId="3"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4" borderId="7" xfId="0" applyNumberFormat="1" applyFont="1" applyFill="1" applyBorder="1"/>
    <x:xf numFmtId="0" fontId="9" fillId="4" borderId="8" xfId="0" applyNumberFormat="1" applyFont="1" applyFill="1" applyBorder="1"/>
    <x:xf numFmtId="0" fontId="9" fillId="4" borderId="9" xfId="0" applyNumberFormat="1" applyFont="1" applyFill="1" applyBorder="1"/>
    <x:xf numFmtId="0" fontId="9" fillId="4" borderId="2" xfId="0" applyNumberFormat="1" applyFont="1" applyFill="1" applyBorder="1" applyAlignment="1">
      <x:alignment wrapText="1"/>
    </x:xf>
    <x:xf numFmtId="0" fontId="9" fillId="4" borderId="3" xfId="0" applyNumberFormat="1" applyFont="1" applyFill="1" applyBorder="1" applyAlignment="1">
      <x:alignment wrapText="1"/>
    </x:xf>
    <x:xf numFmtId="0" fontId="9" fillId="4" borderId="4" xfId="0" applyNumberFormat="1" applyFont="1" applyFill="1" applyBorder="1" applyAlignment="1">
      <x:alignment wrapText="1"/>
    </x:xf>
    <x:xf numFmtId="0" fontId="9" fillId="4" borderId="5" xfId="0" applyNumberFormat="1" applyFont="1" applyFill="1" applyBorder="1" applyAlignment="1">
      <x:alignment wrapText="1"/>
    </x:xf>
    <x:xf numFmtId="0" fontId="9" fillId="4" borderId="0" xfId="0" applyNumberFormat="1" applyFont="1" applyFill="1" applyBorder="1" applyAlignment="1">
      <x:alignment wrapText="1"/>
    </x:xf>
    <x:xf numFmtId="0" fontId="9" fillId="4" borderId="6" xfId="0" applyNumberFormat="1" applyFont="1" applyFill="1" applyBorder="1" applyAlignment="1">
      <x:alignment wrapText="1"/>
    </x:xf>
    <x:xf numFmtId="0" fontId="9" fillId="4" borderId="7" xfId="0" applyNumberFormat="1" applyFont="1" applyFill="1" applyBorder="1" applyAlignment="1">
      <x:alignment wrapText="1"/>
    </x:xf>
    <x:xf numFmtId="0" fontId="9" fillId="4" borderId="8" xfId="0" applyNumberFormat="1" applyFont="1" applyFill="1" applyBorder="1" applyAlignment="1">
      <x:alignment wrapText="1"/>
    </x:xf>
    <x:xf numFmtId="0" fontId="9" fillId="4" borderId="9" xfId="0" applyNumberFormat="1" applyFont="1" applyFill="1" applyBorder="1" applyAlignment="1">
      <x:alignment wrapText="1"/>
    </x:xf>
    <x:xf numFmtId="0" fontId="9" fillId="4" borderId="2" xfId="0" applyNumberFormat="1" applyFont="1" applyFill="1" applyBorder="1" applyAlignment="1">
      <x:alignment vertical="top" wrapText="1"/>
    </x:xf>
    <x:xf numFmtId="0" fontId="9" fillId="4" borderId="3" xfId="0" applyNumberFormat="1" applyFont="1" applyFill="1" applyBorder="1" applyAlignment="1">
      <x:alignment vertical="top" wrapText="1"/>
    </x:xf>
    <x:xf numFmtId="0" fontId="9" fillId="4" borderId="4" xfId="0" applyNumberFormat="1" applyFont="1" applyFill="1" applyBorder="1" applyAlignment="1">
      <x:alignment vertical="top" wrapText="1"/>
    </x:xf>
    <x:xf numFmtId="0" fontId="9" fillId="4" borderId="5"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9" fillId="4" borderId="6" xfId="0" applyNumberFormat="1" applyFont="1" applyFill="1" applyBorder="1" applyAlignment="1">
      <x:alignment vertical="top" wrapText="1"/>
    </x:xf>
    <x:xf numFmtId="0" fontId="9" fillId="4" borderId="7" xfId="0" applyNumberFormat="1" applyFont="1" applyFill="1" applyBorder="1" applyAlignment="1">
      <x:alignment vertical="top" wrapText="1"/>
    </x:xf>
    <x:xf numFmtId="0" fontId="9" fillId="4" borderId="8" xfId="0" applyNumberFormat="1" applyFont="1" applyFill="1" applyBorder="1" applyAlignment="1">
      <x:alignment vertical="top" wrapText="1"/>
    </x:xf>
    <x:xf numFmtId="0" fontId="9" fillId="4" borderId="9"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3" fillId="7" borderId="10" xfId="0" applyNumberFormat="1" applyFont="1" applyFill="1" applyBorder="1"/>
    <x:xf numFmtId="0" fontId="3" fillId="7" borderId="10" xfId="0" applyNumberFormat="1" applyFont="1" applyFill="1" applyBorder="1" applyAlignment="1">
      <x:alignment wrapText="1"/>
    </x:xf>
    <x:xf numFmtId="0" fontId="3" fillId="7" borderId="10" xfId="0" applyNumberFormat="1" applyFont="1" applyFill="1" applyBorder="1" applyAlignment="1">
      <x:alignment vertical="center" wrapText="1"/>
    </x:xf>
    <x:xf numFmtId="0" fontId="0" fillId="8" borderId="0" xfId="0" applyNumberFormat="1" applyFont="1" applyFill="1" applyBorder="1"/>
    <x:xf numFmtId="0" fontId="10" fillId="8" borderId="0" xfId="0" applyNumberFormat="1" applyFont="1" applyFill="1" applyBorder="1"/>
    <x:xf numFmtId="0" fontId="10" fillId="8" borderId="11" xfId="0" applyNumberFormat="1" applyFont="1" applyFill="1" applyBorder="1"/>
    <x:xf numFmtId="0" fontId="10" fillId="8" borderId="12" xfId="0" applyNumberFormat="1" applyFont="1" applyFill="1" applyBorder="1"/>
    <x:xf numFmtId="0" fontId="10" fillId="8" borderId="13" xfId="0" applyNumberFormat="1" applyFont="1" applyFill="1" applyBorder="1"/>
    <x:xf numFmtId="0" fontId="10" fillId="8" borderId="14" xfId="0" applyNumberFormat="1" applyFont="1" applyFill="1" applyBorder="1"/>
    <x:xf numFmtId="0" fontId="10" fillId="8" borderId="15" xfId="0" applyNumberFormat="1" applyFont="1" applyFill="1" applyBorder="1"/>
    <x:xf numFmtId="0" fontId="10" fillId="8" borderId="16" xfId="0" applyNumberFormat="1" applyFont="1" applyFill="1" applyBorder="1"/>
    <x:xf numFmtId="200" fontId="10" fillId="8" borderId="11" xfId="0" applyNumberFormat="1" applyFont="1" applyFill="1" applyBorder="1"/>
    <x:xf numFmtId="200" fontId="10" fillId="8" borderId="12" xfId="0" applyNumberFormat="1" applyFont="1" applyFill="1" applyBorder="1"/>
    <x:xf numFmtId="200" fontId="10" fillId="8" borderId="13" xfId="0" applyNumberFormat="1" applyFont="1" applyFill="1" applyBorder="1"/>
    <x:xf numFmtId="200" fontId="10" fillId="8" borderId="14" xfId="0" applyNumberFormat="1" applyFont="1" applyFill="1" applyBorder="1"/>
    <x:xf numFmtId="200" fontId="10" fillId="8" borderId="15" xfId="0" applyNumberFormat="1" applyFont="1" applyFill="1" applyBorder="1"/>
    <x:xf numFmtId="200" fontId="10" fillId="8" borderId="16" xfId="0" applyNumberFormat="1" applyFont="1" applyFill="1" applyBorder="1"/>
    <x:xf numFmtId="0" fontId="11" fillId="0" borderId="0" xfId="0" applyNumberFormat="1" applyFont="1" applyFill="1" applyBorder="1"/>
    <x:xf numFmtId="201" fontId="11" fillId="0" borderId="0" xfId="0" applyNumberFormat="1" applyFont="1" applyFill="1" applyBorder="1"/>
    <x:xf numFmtId="0" fontId="5" fillId="4" borderId="0" xfId="0" applyNumberFormat="1" applyFont="1" applyFill="1" applyBorder="1"/>
    <x:xf numFmtId="0" fontId="10" fillId="8" borderId="17" xfId="0" applyNumberFormat="1" applyFont="1" applyFill="1" applyBorder="1"/>
    <x:xf numFmtId="0" fontId="10" fillId="8" borderId="18" xfId="0" applyNumberFormat="1" applyFont="1" applyFill="1" applyBorder="1"/>
    <x:xf numFmtId="202" fontId="10" fillId="8" borderId="11" xfId="0" applyNumberFormat="1" applyFont="1" applyFill="1" applyBorder="1"/>
    <x:xf numFmtId="202" fontId="10" fillId="8" borderId="17" xfId="0" applyNumberFormat="1" applyFont="1" applyFill="1" applyBorder="1"/>
    <x:xf numFmtId="202" fontId="10" fillId="8" borderId="12" xfId="0" applyNumberFormat="1" applyFont="1" applyFill="1" applyBorder="1"/>
    <x:xf numFmtId="202" fontId="10" fillId="8" borderId="13" xfId="0" applyNumberFormat="1" applyFont="1" applyFill="1" applyBorder="1"/>
    <x:xf numFmtId="202" fontId="10" fillId="8" borderId="0" xfId="0" applyNumberFormat="1" applyFont="1" applyFill="1" applyBorder="1"/>
    <x:xf numFmtId="202" fontId="10" fillId="8" borderId="14" xfId="0" applyNumberFormat="1" applyFont="1" applyFill="1" applyBorder="1"/>
    <x:xf numFmtId="202" fontId="10" fillId="8" borderId="15" xfId="0" applyNumberFormat="1" applyFont="1" applyFill="1" applyBorder="1"/>
    <x:xf numFmtId="202" fontId="10" fillId="8" borderId="18" xfId="0" applyNumberFormat="1" applyFont="1" applyFill="1" applyBorder="1"/>
    <x:xf numFmtId="202" fontId="10" fillId="8" borderId="16" xfId="0" applyNumberFormat="1" applyFont="1" applyFill="1" applyBorder="1"/>
    <x:xf numFmtId="200" fontId="10" fillId="8" borderId="17" xfId="0" applyNumberFormat="1" applyFont="1" applyFill="1" applyBorder="1"/>
    <x:xf numFmtId="200" fontId="10" fillId="8" borderId="0" xfId="0" applyNumberFormat="1" applyFont="1" applyFill="1" applyBorder="1"/>
    <x:xf numFmtId="200" fontId="10" fillId="8" borderId="18" xfId="0" applyNumberFormat="1" applyFont="1" applyFill="1" applyBorder="1"/>
    <x:xf numFmtId="0" fontId="12" fillId="0" borderId="0" xfId="0" applyNumberFormat="1" applyFont="1" applyFill="1" applyBorder="1"/>
    <x:xf numFmtId="0" fontId="12" fillId="0" borderId="0" xfId="0" applyNumberFormat="1" applyFont="1" applyFill="1" applyBorder="1" applyAlignment="1">
      <x:alignment wrapText="1"/>
    </x:xf>
    <x:xf numFmtId="200" fontId="11" fillId="0" borderId="0" xfId="0" applyNumberFormat="1" applyFont="1" applyFill="1" applyBorder="1"/>
    <x:xf numFmtId="200" fontId="3" fillId="0" borderId="0" xfId="0" applyNumberFormat="1" applyFont="1" applyFill="1" applyBorder="1"/>
    <x:xf numFmtId="0" fontId="3" fillId="0" borderId="19" xfId="0" applyNumberFormat="1" applyFont="1" applyFill="1" applyBorder="1"/>
    <x:xf numFmtId="200" fontId="3" fillId="0" borderId="19" xfId="0" applyNumberFormat="1" applyFont="1" applyFill="1" applyBorder="1"/>
    <x:xf numFmtId="0" fontId="0" fillId="6" borderId="0" xfId="0" applyNumberFormat="1" applyFont="1" applyFill="1" applyBorder="1"/>
    <x:xf numFmtId="201" fontId="11" fillId="6" borderId="0" xfId="0" applyNumberFormat="1" applyFont="1" applyFill="1" applyBorder="1"/>
    <x:xf numFmtId="0" fontId="0" fillId="3" borderId="0" xfId="0" applyNumberFormat="1" applyFont="1" applyFill="1" applyBorder="1"/>
    <x:xf numFmtId="0" fontId="13" fillId="3" borderId="0" xfId="0" applyNumberFormat="1" applyFont="1" applyFill="1" applyBorder="1"/>
    <x:xf numFmtId="203" fontId="0" fillId="0"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vertical="top" wrapText="1"/>
    </x:xf>
    <x:xf numFmtId="0" fontId="14" fillId="2" borderId="0" xfId="0" applyNumberFormat="1" applyFont="1" applyFill="1" applyBorder="1" applyAlignment="1">
      <x:alignment horizontal="left" vertical="center"/>
    </x:xf>
    <x:xf numFmtId="0" fontId="15" fillId="0" borderId="0" xfId="0" applyNumberFormat="1" applyFont="1" applyFill="1" applyBorder="1"/>
    <x:xf numFmtId="0" fontId="15" fillId="0" borderId="0" xfId="0" applyNumberFormat="1" applyFont="1" applyFill="1" applyBorder="1" applyAlignment="1">
      <x:alignment wrapText="1"/>
    </x:xf>
    <x:xf numFmtId="0" fontId="14" fillId="0" borderId="0" xfId="0" applyNumberFormat="1" applyFont="1" applyFill="1" applyBorder="1"/>
    <x:xf numFmtId="0" fontId="14" fillId="3" borderId="0" xfId="0" applyNumberFormat="1" applyFont="1" applyFill="1" applyBorder="1" applyAlignment="1">
      <x:alignment wrapText="1"/>
    </x:xf>
    <x:xf numFmtId="0" fontId="14" fillId="4" borderId="0" xfId="0" applyNumberFormat="1" applyFont="1" applyFill="1" applyBorder="1" applyAlignment="1">
      <x:alignment wrapText="1"/>
    </x:xf>
    <x:xf numFmtId="0" fontId="14" fillId="5" borderId="0" xfId="0" applyNumberFormat="1" applyFont="1" applyFill="1" applyBorder="1" applyAlignment="1">
      <x:alignment horizontal="left" vertical="center"/>
    </x:xf>
    <x:xf numFmtId="0" fontId="14" fillId="0" borderId="0" xfId="0" applyNumberFormat="1" applyFont="1" applyFill="1" applyBorder="1" applyAlignment="1">
      <x:alignment wrapText="1"/>
    </x:xf>
    <x:xf numFmtId="200" fontId="14" fillId="6" borderId="1" xfId="0" applyNumberFormat="1" applyFont="1" applyFill="1" applyBorder="1"/>
    <x:xf numFmtId="200" fontId="15" fillId="0" borderId="0" xfId="0" applyNumberFormat="1" applyFont="1" applyFill="1" applyBorder="1"/>
    <x:xf numFmtId="201" fontId="15" fillId="0" borderId="0" xfId="0" applyNumberFormat="1" applyFont="1" applyFill="1" applyBorder="1"/>
    <x:xf numFmtId="0" fontId="15" fillId="4" borderId="2" xfId="0" applyNumberFormat="1" applyFont="1" applyFill="1" applyBorder="1" applyAlignment="1">
      <x:alignment vertical="top" wrapText="1"/>
    </x:xf>
    <x:xf numFmtId="0" fontId="15" fillId="4" borderId="3" xfId="0" applyNumberFormat="1" applyFont="1" applyFill="1" applyBorder="1" applyAlignment="1">
      <x:alignment vertical="top" wrapText="1"/>
    </x:xf>
    <x:xf numFmtId="0" fontId="15" fillId="4" borderId="4" xfId="0" applyNumberFormat="1" applyFont="1" applyFill="1" applyBorder="1" applyAlignment="1">
      <x:alignment vertical="top" wrapText="1"/>
    </x:xf>
    <x:xf numFmtId="0" fontId="15" fillId="4" borderId="5" xfId="0" applyNumberFormat="1" applyFont="1" applyFill="1" applyBorder="1" applyAlignment="1">
      <x:alignment vertical="top" wrapText="1"/>
    </x:xf>
    <x:xf numFmtId="0" fontId="15" fillId="4" borderId="0" xfId="0" applyNumberFormat="1" applyFont="1" applyFill="1" applyBorder="1" applyAlignment="1">
      <x:alignment vertical="top" wrapText="1"/>
    </x:xf>
    <x:xf numFmtId="0" fontId="15" fillId="4" borderId="6" xfId="0" applyNumberFormat="1" applyFont="1" applyFill="1" applyBorder="1" applyAlignment="1">
      <x:alignment vertical="top" wrapText="1"/>
    </x:xf>
    <x:xf numFmtId="0" fontId="15" fillId="4" borderId="7" xfId="0" applyNumberFormat="1" applyFont="1" applyFill="1" applyBorder="1" applyAlignment="1">
      <x:alignment vertical="top" wrapText="1"/>
    </x:xf>
    <x:xf numFmtId="0" fontId="15" fillId="4" borderId="8" xfId="0" applyNumberFormat="1" applyFont="1" applyFill="1" applyBorder="1" applyAlignment="1">
      <x:alignment vertical="top" wrapText="1"/>
    </x:xf>
    <x:xf numFmtId="0" fontId="15" fillId="4" borderId="9" xfId="0" applyNumberFormat="1" applyFont="1" applyFill="1" applyBorder="1" applyAlignment="1">
      <x:alignment vertical="top" wrapText="1"/>
    </x:xf>
    <x:xf numFmtId="0" fontId="15" fillId="0" borderId="0" xfId="0" applyNumberFormat="1" applyFont="1" applyFill="1" applyBorder="1" applyAlignment="1">
      <x:alignment vertical="center"/>
    </x:xf>
    <x:xf numFmtId="0" fontId="15" fillId="0" borderId="0" xfId="0" applyNumberFormat="1" applyFont="1" applyFill="1" applyBorder="1" applyAlignment="1">
      <x:alignment vertical="center" wrapText="1"/>
    </x:xf>
    <x:xf numFmtId="0" fontId="14" fillId="0" borderId="0" xfId="0" applyNumberFormat="1" applyFont="1" applyFill="1" applyBorder="1" applyAlignment="1">
      <x:alignment vertical="center"/>
    </x:xf>
    <x:xf numFmtId="0" fontId="14" fillId="3" borderId="0" xfId="0" applyNumberFormat="1" applyFont="1" applyFill="1" applyBorder="1" applyAlignment="1">
      <x:alignment vertical="center" wrapText="1"/>
    </x:xf>
    <x:xf numFmtId="0" fontId="14" fillId="4" borderId="0" xfId="0" applyNumberFormat="1" applyFont="1" applyFill="1" applyBorder="1" applyAlignment="1">
      <x:alignment vertical="center" wrapText="1"/>
    </x:xf>
    <x:xf numFmtId="0" fontId="14" fillId="0" borderId="0" xfId="0" applyNumberFormat="1" applyFont="1" applyFill="1" applyBorder="1" applyAlignment="1">
      <x:alignment vertical="center" wrapText="1"/>
    </x:xf>
    <x:xf numFmtId="200" fontId="14" fillId="6" borderId="1" xfId="0" applyNumberFormat="1" applyFont="1" applyFill="1" applyBorder="1" applyAlignment="1">
      <x:alignment vertical="center"/>
    </x:xf>
    <x:xf numFmtId="200" fontId="15" fillId="0" borderId="0" xfId="0" applyNumberFormat="1" applyFont="1" applyFill="1" applyBorder="1" applyAlignment="1">
      <x:alignment vertical="center"/>
    </x:xf>
    <x:xf numFmtId="201" fontId="15" fillId="0" borderId="0" xfId="0" applyNumberFormat="1" applyFont="1" applyFill="1" applyBorder="1" applyAlignment="1">
      <x:alignment vertical="center"/>
    </x:xf>
    <x:xf numFmtId="0" fontId="15" fillId="4" borderId="2" xfId="0" applyNumberFormat="1" applyFont="1" applyFill="1" applyBorder="1" applyAlignment="1">
      <x:alignment vertical="center" wrapText="1"/>
    </x:xf>
    <x:xf numFmtId="0" fontId="15" fillId="4" borderId="3" xfId="0" applyNumberFormat="1" applyFont="1" applyFill="1" applyBorder="1" applyAlignment="1">
      <x:alignment vertical="center" wrapText="1"/>
    </x:xf>
    <x:xf numFmtId="0" fontId="15" fillId="4" borderId="4" xfId="0" applyNumberFormat="1" applyFont="1" applyFill="1" applyBorder="1" applyAlignment="1">
      <x:alignment vertical="center" wrapText="1"/>
    </x:xf>
    <x:xf numFmtId="0" fontId="15" fillId="4" borderId="5" xfId="0" applyNumberFormat="1" applyFont="1" applyFill="1" applyBorder="1" applyAlignment="1">
      <x:alignment vertical="center" wrapText="1"/>
    </x:xf>
    <x:xf numFmtId="0" fontId="15" fillId="4" borderId="0" xfId="0" applyNumberFormat="1" applyFont="1" applyFill="1" applyBorder="1" applyAlignment="1">
      <x:alignment vertical="center" wrapText="1"/>
    </x:xf>
    <x:xf numFmtId="0" fontId="15" fillId="4" borderId="6" xfId="0" applyNumberFormat="1" applyFont="1" applyFill="1" applyBorder="1" applyAlignment="1">
      <x:alignment vertical="center" wrapText="1"/>
    </x:xf>
    <x:xf numFmtId="0" fontId="15" fillId="4" borderId="7" xfId="0" applyNumberFormat="1" applyFont="1" applyFill="1" applyBorder="1" applyAlignment="1">
      <x:alignment vertical="center" wrapText="1"/>
    </x:xf>
    <x:xf numFmtId="0" fontId="15" fillId="4" borderId="8" xfId="0" applyNumberFormat="1" applyFont="1" applyFill="1" applyBorder="1" applyAlignment="1">
      <x:alignment vertical="center" wrapText="1"/>
    </x:xf>
    <x:xf numFmtId="0" fontId="15" fillId="4" borderId="9" xfId="0" applyNumberFormat="1" applyFont="1" applyFill="1" applyBorder="1" applyAlignment="1">
      <x:alignment vertical="center" wrapText="1"/>
    </x:xf>
    <x:xf numFmtId="0" fontId="15" fillId="4" borderId="0" xfId="0" applyNumberFormat="1" applyFont="1" applyFill="1" applyBorder="1" applyAlignment="1">
      <x:alignment wrapText="1"/>
    </x:xf>
    <x:xf numFmtId="0" fontId="14" fillId="7" borderId="10" xfId="0" applyNumberFormat="1" applyFont="1" applyFill="1" applyBorder="1" applyAlignment="1">
      <x:alignment vertical="center" wrapText="1"/>
    </x:xf>
    <x:xf numFmtId="200" fontId="15" fillId="8" borderId="11" xfId="0" applyNumberFormat="1" applyFont="1" applyFill="1" applyBorder="1"/>
    <x:xf numFmtId="200" fontId="15" fillId="8" borderId="12" xfId="0" applyNumberFormat="1" applyFont="1" applyFill="1" applyBorder="1"/>
    <x:xf numFmtId="200" fontId="15" fillId="8" borderId="13" xfId="0" applyNumberFormat="1" applyFont="1" applyFill="1" applyBorder="1"/>
    <x:xf numFmtId="200" fontId="15" fillId="8" borderId="14" xfId="0" applyNumberFormat="1" applyFont="1" applyFill="1" applyBorder="1"/>
    <x:xf numFmtId="200" fontId="15" fillId="8" borderId="15" xfId="0" applyNumberFormat="1" applyFont="1" applyFill="1" applyBorder="1"/>
    <x:xf numFmtId="200" fontId="15" fillId="8" borderId="16" xfId="0" applyNumberFormat="1" applyFont="1" applyFill="1" applyBorder="1"/>
    <x:xf numFmtId="202" fontId="15" fillId="8" borderId="11" xfId="0" applyNumberFormat="1" applyFont="1" applyFill="1" applyBorder="1"/>
    <x:xf numFmtId="202" fontId="15" fillId="8" borderId="17" xfId="0" applyNumberFormat="1" applyFont="1" applyFill="1" applyBorder="1"/>
    <x:xf numFmtId="202" fontId="15" fillId="8" borderId="12" xfId="0" applyNumberFormat="1" applyFont="1" applyFill="1" applyBorder="1"/>
    <x:xf numFmtId="202" fontId="15" fillId="8" borderId="13" xfId="0" applyNumberFormat="1" applyFont="1" applyFill="1" applyBorder="1"/>
    <x:xf numFmtId="202" fontId="15" fillId="8" borderId="0" xfId="0" applyNumberFormat="1" applyFont="1" applyFill="1" applyBorder="1"/>
    <x:xf numFmtId="202" fontId="15" fillId="8" borderId="14" xfId="0" applyNumberFormat="1" applyFont="1" applyFill="1" applyBorder="1"/>
    <x:xf numFmtId="202" fontId="15" fillId="8" borderId="15" xfId="0" applyNumberFormat="1" applyFont="1" applyFill="1" applyBorder="1"/>
    <x:xf numFmtId="202" fontId="15" fillId="8" borderId="18" xfId="0" applyNumberFormat="1" applyFont="1" applyFill="1" applyBorder="1"/>
    <x:xf numFmtId="202" fontId="15" fillId="8" borderId="16" xfId="0" applyNumberFormat="1" applyFont="1" applyFill="1" applyBorder="1"/>
    <x:xf numFmtId="200" fontId="15" fillId="8" borderId="17" xfId="0" applyNumberFormat="1" applyFont="1" applyFill="1" applyBorder="1"/>
    <x:xf numFmtId="200" fontId="15" fillId="8" borderId="0" xfId="0" applyNumberFormat="1" applyFont="1" applyFill="1" applyBorder="1"/>
    <x:xf numFmtId="200" fontId="15" fillId="8" borderId="18" xfId="0" applyNumberFormat="1" applyFont="1" applyFill="1" applyBorder="1"/>
    <x:xf numFmtId="200" fontId="15" fillId="8" borderId="11" xfId="0" applyNumberFormat="1" applyFont="1" applyFill="1" applyBorder="1" applyAlignment="1">
      <x:alignment vertical="center"/>
    </x:xf>
    <x:xf numFmtId="200" fontId="15" fillId="8" borderId="12" xfId="0" applyNumberFormat="1" applyFont="1" applyFill="1" applyBorder="1" applyAlignment="1">
      <x:alignment vertical="center"/>
    </x:xf>
    <x:xf numFmtId="200" fontId="15" fillId="8" borderId="13" xfId="0" applyNumberFormat="1" applyFont="1" applyFill="1" applyBorder="1" applyAlignment="1">
      <x:alignment vertical="center"/>
    </x:xf>
    <x:xf numFmtId="200" fontId="15" fillId="8" borderId="14" xfId="0" applyNumberFormat="1" applyFont="1" applyFill="1" applyBorder="1" applyAlignment="1">
      <x:alignment vertical="center"/>
    </x:xf>
    <x:xf numFmtId="200" fontId="15" fillId="8" borderId="15" xfId="0" applyNumberFormat="1" applyFont="1" applyFill="1" applyBorder="1" applyAlignment="1">
      <x:alignment vertical="center"/>
    </x:xf>
    <x:xf numFmtId="200" fontId="15" fillId="8" borderId="16" xfId="0" applyNumberFormat="1" applyFont="1" applyFill="1" applyBorder="1" applyAlignment="1">
      <x:alignment vertical="center"/>
    </x:xf>
    <x:xf numFmtId="202" fontId="15" fillId="8" borderId="11" xfId="0" applyNumberFormat="1" applyFont="1" applyFill="1" applyBorder="1" applyAlignment="1">
      <x:alignment vertical="center"/>
    </x:xf>
    <x:xf numFmtId="202" fontId="15" fillId="8" borderId="17" xfId="0" applyNumberFormat="1" applyFont="1" applyFill="1" applyBorder="1" applyAlignment="1">
      <x:alignment vertical="center"/>
    </x:xf>
    <x:xf numFmtId="202" fontId="15" fillId="8" borderId="12" xfId="0" applyNumberFormat="1" applyFont="1" applyFill="1" applyBorder="1" applyAlignment="1">
      <x:alignment vertical="center"/>
    </x:xf>
    <x:xf numFmtId="202" fontId="15" fillId="8" borderId="13" xfId="0" applyNumberFormat="1" applyFont="1" applyFill="1" applyBorder="1" applyAlignment="1">
      <x:alignment vertical="center"/>
    </x:xf>
    <x:xf numFmtId="202" fontId="15" fillId="8" borderId="0" xfId="0" applyNumberFormat="1" applyFont="1" applyFill="1" applyBorder="1" applyAlignment="1">
      <x:alignment vertical="center"/>
    </x:xf>
    <x:xf numFmtId="202" fontId="15" fillId="8" borderId="14" xfId="0" applyNumberFormat="1" applyFont="1" applyFill="1" applyBorder="1" applyAlignment="1">
      <x:alignment vertical="center"/>
    </x:xf>
    <x:xf numFmtId="202" fontId="15" fillId="8" borderId="15" xfId="0" applyNumberFormat="1" applyFont="1" applyFill="1" applyBorder="1" applyAlignment="1">
      <x:alignment vertical="center"/>
    </x:xf>
    <x:xf numFmtId="202" fontId="15" fillId="8" borderId="18" xfId="0" applyNumberFormat="1" applyFont="1" applyFill="1" applyBorder="1" applyAlignment="1">
      <x:alignment vertical="center"/>
    </x:xf>
    <x:xf numFmtId="202" fontId="15" fillId="8" borderId="16" xfId="0" applyNumberFormat="1" applyFont="1" applyFill="1" applyBorder="1" applyAlignment="1">
      <x:alignment vertical="center"/>
    </x:xf>
    <x:xf numFmtId="200" fontId="15" fillId="8" borderId="17" xfId="0" applyNumberFormat="1" applyFont="1" applyFill="1" applyBorder="1" applyAlignment="1">
      <x:alignment vertical="center"/>
    </x:xf>
    <x:xf numFmtId="200" fontId="15" fillId="8" borderId="0" xfId="0" applyNumberFormat="1" applyFont="1" applyFill="1" applyBorder="1" applyAlignment="1">
      <x:alignment vertical="center"/>
    </x:xf>
    <x:xf numFmtId="200" fontId="15" fillId="8" borderId="18" xfId="0" applyNumberFormat="1" applyFont="1" applyFill="1" applyBorder="1" applyAlignment="1">
      <x:alignment vertical="center"/>
    </x:xf>
    <x:xf numFmtId="200" fontId="14" fillId="0" borderId="19" xfId="0" applyNumberFormat="1" applyFont="1" applyFill="1" applyBorder="1"/>
    <x:xf numFmtId="0" fontId="15" fillId="6" borderId="0" xfId="0" applyNumberFormat="1" applyFont="1" applyFill="1" applyBorder="1"/>
    <x:xf numFmtId="201" fontId="15" fillId="6" borderId="0" xfId="0" applyNumberFormat="1" applyFont="1" applyFill="1" applyBorder="1"/>
    <x:xf numFmtId="200" fontId="14" fillId="0" borderId="19" xfId="0" applyNumberFormat="1" applyFont="1" applyFill="1" applyBorder="1" applyAlignment="1">
      <x:alignment vertical="center"/>
    </x:xf>
    <x:xf numFmtId="0" fontId="15" fillId="6" borderId="0" xfId="0" applyNumberFormat="1" applyFont="1" applyFill="1" applyBorder="1" applyAlignment="1">
      <x:alignment vertical="center"/>
    </x:xf>
    <x:xf numFmtId="201" fontId="15" fillId="6" borderId="0" xfId="0" applyNumberFormat="1" applyFont="1" applyFill="1" applyBorder="1" applyAlignment="1">
      <x:alignment vertical="center"/>
    </x:xf>
    <x:xf numFmtId="0" fontId="14" fillId="3" borderId="0" xfId="0" applyNumberFormat="1" applyFont="1" applyFill="1" applyBorder="1"/>
    <x:xf numFmtId="203" fontId="15" fillId="0" borderId="0" xfId="0" applyNumberFormat="1" applyFont="1" applyFill="1" applyBorder="1"/>
    <x:xf numFmtId="0" fontId="14" fillId="3" borderId="0" xfId="0" applyNumberFormat="1" applyFont="1" applyFill="1" applyBorder="1" applyAlignment="1">
      <x:alignment vertical="center"/>
    </x:xf>
    <x:xf numFmtId="203" fontId="15" fillId="0" borderId="0" xfId="0" applyNumberFormat="1" applyFont="1" applyFill="1" applyBorder="1" applyAlignment="1">
      <x:alignment vertical="center"/>
    </x:xf>
    <x:xf numFmtId="0" fontId="15" fillId="0" borderId="0"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5" borderId="0" xfId="0" applyNumberFormat="1" applyFont="1" applyFill="1" applyBorder="1" applyAlignment="1">
      <x:alignment horizontal="lef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910841e50034927" /><Relationship Type="http://schemas.openxmlformats.org/officeDocument/2006/relationships/theme" Target="/xl/theme/theme1.xml" Id="Rcc07e49af00b46c9" /><Relationship Type="http://schemas.openxmlformats.org/officeDocument/2006/relationships/sharedStrings" Target="/xl/sharedStrings.xml" Id="R2c99391c98fe4283" /><Relationship Type="http://schemas.openxmlformats.org/officeDocument/2006/relationships/worksheet" Target="/xl/worksheets/sheet1.xml" Id="Rcefb2b36b56a4834" /><Relationship Type="http://schemas.openxmlformats.org/officeDocument/2006/relationships/worksheet" Target="/xl/worksheets/sheet2.xml" Id="Rfd9ab73516424ac7" /><Relationship Type="http://schemas.openxmlformats.org/officeDocument/2006/relationships/worksheet" Target="/xl/worksheets/sheet3.xml" Id="R565916bbd5f84d02" /><Relationship Type="http://schemas.openxmlformats.org/officeDocument/2006/relationships/worksheet" Target="/xl/worksheets/sheet4.xml" Id="R70b18f019b124892" /><Relationship Type="http://schemas.openxmlformats.org/officeDocument/2006/relationships/worksheet" Target="/xl/worksheets/sheet5.xml" Id="R37beb0debe8c4568" /><Relationship Type="http://schemas.openxmlformats.org/officeDocument/2006/relationships/worksheet" Target="/xl/worksheets/sheet6.xml" Id="Rf7577d71afb848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30"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188" t="str">
        <x:v>LumenCore 3686 Financial Model</x:v>
      </x:c>
      <x:c r="B1" s="188" t="str">
        <x:v>LumenCore 3686 Financial Model</x:v>
      </x:c>
      <x:c r="C1" s="188" t="str">
        <x:v>LumenCore 3686 Financial Model</x:v>
      </x:c>
      <x:c r="D1" s="188" t="str">
        <x:v>LumenCore 3686 Financial Model</x:v>
      </x:c>
      <x:c r="E1" s="188" t="str">
        <x:v>LumenCore 3686 Financial Model</x:v>
      </x:c>
      <x:c r="F1" s="188" t="str">
        <x:v>LumenCore 3686 Financial Model</x:v>
      </x:c>
      <x:c r="G1" s="188" t="str">
        <x:v>LumenCore 3686 Financial Model</x:v>
      </x:c>
      <x:c r="H1" s="188" t="str">
        <x:v>LumenCore 3686 Financial Model</x:v>
      </x:c>
    </x:row>
    <x:row r="2" ht="20" customHeight="1">
      <x:c r="A2" s="121"/>
      <x:c r="B2" s="121"/>
      <x:c r="C2" s="121"/>
      <x:c r="D2" s="121"/>
      <x:c r="E2" s="121"/>
      <x:c r="F2" s="121"/>
      <x:c r="G2" s="121"/>
      <x:c r="H2" s="121"/>
    </x:row>
    <x:row r="3" ht="20" customHeight="1">
      <x:c r="A3" s="122" t="str">
        <x:v>Five-year planning model for the 2026 Launch Tennessee 3686 application</x:v>
      </x:c>
      <x:c r="B3" s="122" t="str">
        <x:v>Five-year planning model for the 2026 Launch Tennessee 3686 application</x:v>
      </x:c>
      <x:c r="C3" s="122" t="str">
        <x:v>Five-year planning model for the 2026 Launch Tennessee 3686 application</x:v>
      </x:c>
      <x:c r="D3" s="122" t="str">
        <x:v>Five-year planning model for the 2026 Launch Tennessee 3686 application</x:v>
      </x:c>
      <x:c r="E3" s="122" t="str">
        <x:v>Five-year planning model for the 2026 Launch Tennessee 3686 application</x:v>
      </x:c>
      <x:c r="F3" s="122" t="str">
        <x:v>Five-year planning model for the 2026 Launch Tennessee 3686 application</x:v>
      </x:c>
      <x:c r="G3" s="122" t="str">
        <x:v>Five-year planning model for the 2026 Launch Tennessee 3686 application</x:v>
      </x:c>
      <x:c r="H3" s="122" t="str">
        <x:v>Five-year planning model for the 2026 Launch Tennessee 3686 application</x:v>
      </x:c>
    </x:row>
    <x:row r="4" ht="20" customHeight="1">
      <x:c r="A4" s="121"/>
      <x:c r="B4" s="121"/>
      <x:c r="C4" s="121"/>
      <x:c r="D4" s="121"/>
      <x:c r="E4" s="121"/>
      <x:c r="F4" s="121"/>
      <x:c r="G4" s="121"/>
      <x:c r="H4" s="121"/>
    </x:row>
    <x:row r="5" ht="20" customHeight="1">
      <x:c r="A5" s="123" t="str">
        <x:v>Model owner</x:v>
      </x:c>
      <x:c r="B5" s="122" t="str">
        <x:v>Robert Ashworth / LumenCore</x:v>
      </x:c>
      <x:c r="C5" s="121"/>
      <x:c r="D5" s="121"/>
      <x:c r="E5" s="121"/>
      <x:c r="F5" s="121"/>
      <x:c r="G5" s="121"/>
      <x:c r="H5" s="121"/>
    </x:row>
    <x:row r="6" ht="20" customHeight="1">
      <x:c r="A6" s="123" t="str">
        <x:v>Calculation status</x:v>
      </x:c>
      <x:c r="B6" s="124" t="str">
        <x:f>'Checks'!B2</x:f>
        <x:v>PASS</x:v>
      </x:c>
      <x:c r="C6" s="121"/>
      <x:c r="D6" s="121"/>
      <x:c r="E6" s="121"/>
      <x:c r="F6" s="121"/>
      <x:c r="G6" s="121"/>
      <x:c r="H6" s="121"/>
    </x:row>
    <x:row r="7" ht="20" customHeight="1">
      <x:c r="A7" s="123" t="str">
        <x:v>Commercial approval</x:v>
      </x:c>
      <x:c r="B7" s="125" t="str">
        <x:v>FOUNDER REVIEW REQUIRED</x:v>
      </x:c>
      <x:c r="C7" s="121"/>
      <x:c r="D7" s="121"/>
      <x:c r="E7" s="121"/>
      <x:c r="F7" s="121"/>
      <x:c r="G7" s="121"/>
      <x:c r="H7" s="121"/>
    </x:row>
    <x:row r="8" ht="20" customHeight="1">
      <x:c r="A8" s="123" t="str">
        <x:v>Model basis</x:v>
      </x:c>
      <x:c r="B8" s="122" t="str">
        <x:v>Forecast only; no actual revenue or committed funding is claimed</x:v>
      </x:c>
      <x:c r="C8" s="121"/>
      <x:c r="D8" s="121"/>
      <x:c r="E8" s="121"/>
      <x:c r="F8" s="121"/>
      <x:c r="G8" s="121"/>
      <x:c r="H8" s="121"/>
    </x:row>
    <x:row r="9" ht="20" customHeight="1">
      <x:c r="A9" s="123" t="str">
        <x:v>Forecast horizon</x:v>
      </x:c>
      <x:c r="B9" s="122" t="str">
        <x:v>Year 1 through Year 5</x:v>
      </x:c>
      <x:c r="C9" s="121"/>
      <x:c r="D9" s="121"/>
      <x:c r="E9" s="121"/>
      <x:c r="F9" s="121"/>
      <x:c r="G9" s="121"/>
      <x:c r="H9" s="121"/>
    </x:row>
    <x:row r="10" ht="20" customHeight="1">
      <x:c r="A10" s="123" t="str">
        <x:v>Currency</x:v>
      </x:c>
      <x:c r="B10" s="122" t="str">
        <x:v>USD</x:v>
      </x:c>
      <x:c r="C10" s="121"/>
      <x:c r="D10" s="121"/>
      <x:c r="E10" s="121"/>
      <x:c r="F10" s="121"/>
      <x:c r="G10" s="121"/>
      <x:c r="H10" s="121"/>
    </x:row>
    <x:row r="11" ht="20" customHeight="1">
      <x:c r="A11" s="123" t="str">
        <x:v>Version</x:v>
      </x:c>
      <x:c r="B11" s="122" t="str">
        <x:v>2026-07-17</x:v>
      </x:c>
      <x:c r="C11" s="121"/>
      <x:c r="D11" s="121"/>
      <x:c r="E11" s="121"/>
      <x:c r="F11" s="121"/>
      <x:c r="G11" s="121"/>
      <x:c r="H11" s="121"/>
    </x:row>
    <x:row r="12" ht="20" customHeight="1">
      <x:c r="A12" s="123" t="str">
        <x:v>Portal deadline</x:v>
      </x:c>
      <x:c r="B12" s="122" t="str">
        <x:v>2026-08-13 11:59 PM CDT</x:v>
      </x:c>
      <x:c r="C12" s="121"/>
      <x:c r="D12" s="121"/>
      <x:c r="E12" s="121"/>
      <x:c r="F12" s="121"/>
      <x:c r="G12" s="121"/>
      <x:c r="H12" s="121"/>
    </x:row>
    <x:row r="13" ht="20" customHeight="1">
      <x:c r="A13" s="121"/>
      <x:c r="B13" s="121"/>
      <x:c r="C13" s="121"/>
      <x:c r="D13" s="121"/>
      <x:c r="E13" s="121"/>
      <x:c r="F13" s="121"/>
      <x:c r="G13" s="121"/>
      <x:c r="H13" s="121"/>
    </x:row>
    <x:row r="14" ht="22" customHeight="1">
      <x:c r="A14" s="189" t="str">
        <x:v>Headline outputs - formula driven</x:v>
      </x:c>
      <x:c r="B14" s="189" t="str">
        <x:v>Headline outputs - formula driven</x:v>
      </x:c>
      <x:c r="C14" s="189" t="str">
        <x:v>Headline outputs - formula driven</x:v>
      </x:c>
      <x:c r="D14" s="189" t="str">
        <x:v>Headline outputs - formula driven</x:v>
      </x:c>
      <x:c r="E14" s="189" t="str">
        <x:v>Headline outputs - formula driven</x:v>
      </x:c>
      <x:c r="F14" s="189" t="str">
        <x:v>Headline outputs - formula driven</x:v>
      </x:c>
      <x:c r="G14" s="189" t="str">
        <x:v>Headline outputs - formula driven</x:v>
      </x:c>
      <x:c r="H14" s="189" t="str">
        <x:v>Headline outputs - formula driven</x:v>
      </x:c>
    </x:row>
    <x:row r="15" ht="20" customHeight="1">
      <x:c r="A15" s="121"/>
      <x:c r="B15" s="121"/>
      <x:c r="C15" s="121"/>
      <x:c r="D15" s="121"/>
      <x:c r="E15" s="121"/>
      <x:c r="F15" s="121"/>
      <x:c r="G15" s="121"/>
      <x:c r="H15" s="121"/>
    </x:row>
    <x:row r="16" ht="20" customHeight="1">
      <x:c r="A16" s="126" t="str">
        <x:v>Year 1 Revenue</x:v>
      </x:c>
      <x:c r="B16" s="126"/>
      <x:c r="C16" s="126" t="str">
        <x:v>Year 5 Revenue</x:v>
      </x:c>
      <x:c r="D16" s="126"/>
      <x:c r="E16" s="126" t="str">
        <x:v>Year 5 Gross Margin</x:v>
      </x:c>
      <x:c r="F16" s="126"/>
      <x:c r="G16" s="126" t="str">
        <x:v>Year 5 Ending Cash</x:v>
      </x:c>
      <x:c r="H16" s="126"/>
    </x:row>
    <x:row r="17" ht="20" customHeight="1">
      <x:c r="A17" s="127" t="n">
        <x:f>'Forecast'!B8</x:f>
        <x:v>65000</x:v>
      </x:c>
      <x:c r="B17" s="121"/>
      <x:c r="C17" s="128" t="n">
        <x:f>'Forecast'!F8</x:f>
        <x:v>1540000</x:v>
      </x:c>
      <x:c r="D17" s="121"/>
      <x:c r="E17" s="129" t="n">
        <x:f>'Forecast'!F17</x:f>
        <x:v>0.7681818181818182</x:v>
      </x:c>
      <x:c r="F17" s="121"/>
      <x:c r="G17" s="128" t="n">
        <x:f>'Forecast'!F36</x:f>
        <x:v>1128000</x:v>
      </x:c>
      <x:c r="H17" s="121"/>
    </x:row>
    <x:row r="18" ht="20" customHeight="1">
      <x:c r="A18" s="121"/>
      <x:c r="B18" s="121"/>
      <x:c r="C18" s="121"/>
      <x:c r="D18" s="121"/>
      <x:c r="E18" s="121"/>
      <x:c r="F18" s="121"/>
      <x:c r="G18" s="121"/>
      <x:c r="H18" s="121"/>
    </x:row>
    <x:row r="19" ht="20" customHeight="1">
      <x:c r="A19" s="121"/>
      <x:c r="B19" s="121"/>
      <x:c r="C19" s="121"/>
      <x:c r="D19" s="121"/>
      <x:c r="E19" s="121"/>
      <x:c r="F19" s="121"/>
      <x:c r="G19" s="121"/>
      <x:c r="H19" s="121"/>
    </x:row>
    <x:row r="20" ht="22" customHeight="1">
      <x:c r="A20" s="189" t="str">
        <x:v>Decision boundary</x:v>
      </x:c>
      <x:c r="B20" s="189" t="str">
        <x:v>Decision boundary</x:v>
      </x:c>
      <x:c r="C20" s="189" t="str">
        <x:v>Decision boundary</x:v>
      </x:c>
      <x:c r="D20" s="189" t="str">
        <x:v>Decision boundary</x:v>
      </x:c>
      <x:c r="E20" s="189" t="str">
        <x:v>Decision boundary</x:v>
      </x:c>
      <x:c r="F20" s="189" t="str">
        <x:v>Decision boundary</x:v>
      </x:c>
      <x:c r="G20" s="189" t="str">
        <x:v>Decision boundary</x:v>
      </x:c>
      <x:c r="H20" s="189" t="str">
        <x:v>Decision boundary</x:v>
      </x:c>
    </x:row>
    <x:row r="21" ht="20" customHeight="1">
      <x:c r="A21" s="121"/>
      <x:c r="B21" s="121"/>
      <x:c r="C21" s="121"/>
      <x:c r="D21" s="121"/>
      <x:c r="E21" s="121"/>
      <x:c r="F21" s="121"/>
      <x:c r="G21" s="121"/>
      <x:c r="H21" s="121"/>
    </x:row>
    <x:row r="22" ht="20" customHeight="1">
      <x:c r="A22" s="130"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B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C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D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E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F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G22" s="131"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H22" s="132"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row>
    <x:row r="23" ht="20" customHeight="1">
      <x:c r="A23" s="133"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B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C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D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E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F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G23"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H23" s="135"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row>
    <x:row r="24" ht="20" customHeight="1">
      <x:c r="A24" s="133"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B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C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D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E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F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G24" s="134"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H24" s="135"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row>
    <x:row r="25" ht="20" customHeight="1">
      <x:c r="A25" s="136"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B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C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D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E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F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G25" s="137"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c r="H25" s="138" t="str">
        <x:v>All prices, unit volumes, costs, operating expenses, financing, and resulting projections are editable planning assumptions for founder review. They are not historical actuals, customer commitments, approved quotes, awards, investment commitments, or guarantees. External funding is shown as financing, never as revenue.</x:v>
      </x:c>
    </x:row>
  </x:sheetData>
  <x:mergeCells>
    <x:mergeCell ref="A1:H1"/>
    <x:mergeCell ref="A3:H3"/>
    <x:mergeCell ref="A14:H14"/>
    <x:mergeCell ref="A20:H20"/>
    <x:mergeCell ref="A22: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7" hidden="0" customWidth="1"/>
    <x:col min="2" max="2" width="15" hidden="0" customWidth="1"/>
    <x:col min="3" max="3" width="15" hidden="0" customWidth="1"/>
    <x:col min="4" max="4" width="18" hidden="0" customWidth="1"/>
    <x:col min="5" max="5" width="18" hidden="0" customWidth="1"/>
    <x:col min="6" max="6" width="25" hidden="0" customWidth="1"/>
    <x:col min="7" max="7" width="48" hidden="0" customWidth="1"/>
  </x:cols>
  <x:sheetData>
    <x:row r="1" ht="34" customHeight="1">
      <x:c r="A1" s="188" t="str">
        <x:v>Assumptions</x:v>
      </x:c>
      <x:c r="B1" s="188" t="str">
        <x:v>Assumptions</x:v>
      </x:c>
      <x:c r="C1" s="188" t="str">
        <x:v>Assumptions</x:v>
      </x:c>
      <x:c r="D1" s="188" t="str">
        <x:v>Assumptions</x:v>
      </x:c>
      <x:c r="E1" s="188" t="str">
        <x:v>Assumptions</x:v>
      </x:c>
      <x:c r="F1" s="188" t="str">
        <x:v>Assumptions</x:v>
      </x:c>
      <x:c r="G1" s="188" t="str">
        <x:v>Assumptions</x:v>
      </x:c>
    </x:row>
    <x:row r="2" ht="20" customHeight="1">
      <x:c r="A2" s="121"/>
      <x:c r="B2" s="121"/>
      <x:c r="C2" s="121"/>
      <x:c r="D2" s="121"/>
      <x:c r="E2" s="121"/>
      <x:c r="F2" s="121"/>
      <x:c r="G2" s="121"/>
    </x:row>
    <x:row r="3" ht="20" customHeight="1">
      <x:c r="A3" s="134" t="str">
        <x:v>Blue-font cells are editable assumptions. All commercial inputs require founder approval before submission.</x:v>
      </x:c>
      <x:c r="B3" s="134" t="str">
        <x:v>Blue-font cells are editable assumptions. All commercial inputs require founder approval before submission.</x:v>
      </x:c>
      <x:c r="C3" s="134" t="str">
        <x:v>Blue-font cells are editable assumptions. All commercial inputs require founder approval before submission.</x:v>
      </x:c>
      <x:c r="D3" s="134" t="str">
        <x:v>Blue-font cells are editable assumptions. All commercial inputs require founder approval before submission.</x:v>
      </x:c>
      <x:c r="E3" s="134" t="str">
        <x:v>Blue-font cells are editable assumptions. All commercial inputs require founder approval before submission.</x:v>
      </x:c>
      <x:c r="F3" s="134" t="str">
        <x:v>Blue-font cells are editable assumptions. All commercial inputs require founder approval before submission.</x:v>
      </x:c>
      <x:c r="G3" s="134" t="str">
        <x:v>Blue-font cells are editable assumptions. All commercial inputs require founder approval before submission.</x:v>
      </x:c>
    </x:row>
    <x:row r="4" ht="20" customHeight="1">
      <x:c r="A4" s="121"/>
      <x:c r="B4" s="121"/>
      <x:c r="C4" s="121"/>
      <x:c r="D4" s="121"/>
      <x:c r="E4" s="121"/>
      <x:c r="F4" s="121"/>
      <x:c r="G4" s="121"/>
    </x:row>
    <x:row r="5" ht="22" customHeight="1">
      <x:c r="A5" s="189" t="str">
        <x:v>Unit pricing and direct cost assumptions</x:v>
      </x:c>
      <x:c r="B5" s="189" t="str">
        <x:v>Unit pricing and direct cost assumptions</x:v>
      </x:c>
      <x:c r="C5" s="189" t="str">
        <x:v>Unit pricing and direct cost assumptions</x:v>
      </x:c>
      <x:c r="D5" s="189" t="str">
        <x:v>Unit pricing and direct cost assumptions</x:v>
      </x:c>
      <x:c r="E5" s="189" t="str">
        <x:v>Unit pricing and direct cost assumptions</x:v>
      </x:c>
      <x:c r="F5" s="189" t="str">
        <x:v>Unit pricing and direct cost assumptions</x:v>
      </x:c>
      <x:c r="G5" s="189" t="str">
        <x:v>Unit pricing and direct cost assumptions</x:v>
      </x:c>
    </x:row>
    <x:row r="6" ht="20" customHeight="1">
      <x:c r="A6" s="140" t="str">
        <x:v>Offer</x:v>
      </x:c>
      <x:c r="B6" s="140" t="str">
        <x:v>Unit Price</x:v>
      </x:c>
      <x:c r="C6" s="140" t="str">
        <x:v>Unit COGS</x:v>
      </x:c>
      <x:c r="D6" s="140" t="str">
        <x:v>Gross Margin</x:v>
      </x:c>
      <x:c r="E6" s="140" t="str">
        <x:v>Billing</x:v>
      </x:c>
      <x:c r="F6" s="140" t="str">
        <x:v>Approval Status</x:v>
      </x:c>
      <x:c r="G6" s="140" t="str">
        <x:v>Notes</x:v>
      </x:c>
    </x:row>
    <x:row r="7" ht="20" customHeight="1">
      <x:c r="A7" s="121" t="str">
        <x:v>Evidence-review sprint</x:v>
      </x:c>
      <x:c r="B7" s="159" t="n">
        <x:v>7500</x:v>
      </x:c>
      <x:c r="C7" s="160" t="n">
        <x:v>1500</x:v>
      </x:c>
      <x:c r="D7" s="129" t="n">
        <x:f>IFERROR((B7-C7)/B7,0)</x:f>
        <x:v>0.8</x:v>
      </x:c>
      <x:c r="E7" s="121" t="str">
        <x:v>One-time</x:v>
      </x:c>
      <x:c r="F7" s="125" t="str">
        <x:v>FOUNDER APPROVAL REQUIRED</x:v>
      </x:c>
      <x:c r="G7" s="122" t="str">
        <x:v>Scoped review and replay plan</x:v>
      </x:c>
    </x:row>
    <x:row r="8" ht="20" customHeight="1">
      <x:c r="A8" s="121" t="str">
        <x:v>Buyer-controlled replay pilot</x:v>
      </x:c>
      <x:c r="B8" s="161" t="n">
        <x:v>35000</x:v>
      </x:c>
      <x:c r="C8" s="162" t="n">
        <x:v>10500</x:v>
      </x:c>
      <x:c r="D8" s="129" t="n">
        <x:f>IFERROR((B8-C8)/B8,0)</x:f>
        <x:v>0.7</x:v>
      </x:c>
      <x:c r="E8" s="121" t="str">
        <x:v>One-time</x:v>
      </x:c>
      <x:c r="F8" s="125" t="str">
        <x:v>FOUNDER APPROVAL REQUIRED</x:v>
      </x:c>
      <x:c r="G8" s="122" t="str">
        <x:v>Historical replay with preregistered acceptance gate</x:v>
      </x:c>
    </x:row>
    <x:row r="9" ht="20" customHeight="1">
      <x:c r="A9" s="121" t="str">
        <x:v>Annual platform license/support</x:v>
      </x:c>
      <x:c r="B9" s="163" t="n">
        <x:v>90000</x:v>
      </x:c>
      <x:c r="C9" s="164" t="n">
        <x:v>18000</x:v>
      </x:c>
      <x:c r="D9" s="129" t="n">
        <x:f>IFERROR((B9-C9)/B9,0)</x:f>
        <x:v>0.8</x:v>
      </x:c>
      <x:c r="E9" s="121" t="str">
        <x:v>Annual</x:v>
      </x:c>
      <x:c r="F9" s="125" t="str">
        <x:v>FOUNDER APPROVAL REQUIRED</x:v>
      </x:c>
      <x:c r="G9" s="122" t="str">
        <x:v>Available only after independent validation</x:v>
      </x:c>
    </x:row>
    <x:row r="10" ht="20" customHeight="1">
      <x:c r="A10" s="121"/>
      <x:c r="B10" s="121"/>
      <x:c r="C10" s="121"/>
      <x:c r="D10" s="121"/>
      <x:c r="E10" s="121"/>
      <x:c r="F10" s="121"/>
      <x:c r="G10" s="121"/>
    </x:row>
    <x:row r="11" ht="22" customHeight="1">
      <x:c r="A11" s="189" t="str">
        <x:v>Annual unit-volume assumptions</x:v>
      </x:c>
      <x:c r="B11" s="189" t="str">
        <x:v>Annual unit-volume assumptions</x:v>
      </x:c>
      <x:c r="C11" s="189" t="str">
        <x:v>Annual unit-volume assumptions</x:v>
      </x:c>
      <x:c r="D11" s="189" t="str">
        <x:v>Annual unit-volume assumptions</x:v>
      </x:c>
      <x:c r="E11" s="189" t="str">
        <x:v>Annual unit-volume assumptions</x:v>
      </x:c>
      <x:c r="F11" s="189" t="str">
        <x:v>Annual unit-volume assumptions</x:v>
      </x:c>
      <x:c r="G11" s="189" t="str">
        <x:v>Annual unit-volume assumptions</x:v>
      </x:c>
    </x:row>
    <x:row r="12" ht="20" customHeight="1">
      <x:c r="A12" s="140" t="str">
        <x:v>Offer</x:v>
      </x:c>
      <x:c r="B12" s="140" t="str">
        <x:v>Year 1</x:v>
      </x:c>
      <x:c r="C12" s="140" t="str">
        <x:v>Year 2</x:v>
      </x:c>
      <x:c r="D12" s="140" t="str">
        <x:v>Year 3</x:v>
      </x:c>
      <x:c r="E12" s="140" t="str">
        <x:v>Year 4</x:v>
      </x:c>
      <x:c r="F12" s="140" t="str">
        <x:v>Year 5</x:v>
      </x:c>
      <x:c r="G12" s="121"/>
    </x:row>
    <x:row r="13" ht="20" customHeight="1">
      <x:c r="A13" s="121" t="str">
        <x:v>Evidence-review sprint</x:v>
      </x:c>
      <x:c r="B13" s="165" t="n">
        <x:v>4</x:v>
      </x:c>
      <x:c r="C13" s="166" t="n">
        <x:v>8</x:v>
      </x:c>
      <x:c r="D13" s="166" t="n">
        <x:v>12</x:v>
      </x:c>
      <x:c r="E13" s="166" t="n">
        <x:v>16</x:v>
      </x:c>
      <x:c r="F13" s="167" t="n">
        <x:v>20</x:v>
      </x:c>
      <x:c r="G13" s="121"/>
    </x:row>
    <x:row r="14" ht="20" customHeight="1">
      <x:c r="A14" s="121" t="str">
        <x:v>Buyer-controlled replay pilot</x:v>
      </x:c>
      <x:c r="B14" s="168" t="n">
        <x:v>1</x:v>
      </x:c>
      <x:c r="C14" s="169" t="n">
        <x:v>3</x:v>
      </x:c>
      <x:c r="D14" s="169" t="n">
        <x:v>6</x:v>
      </x:c>
      <x:c r="E14" s="169" t="n">
        <x:v>10</x:v>
      </x:c>
      <x:c r="F14" s="170" t="n">
        <x:v>14</x:v>
      </x:c>
      <x:c r="G14" s="121"/>
    </x:row>
    <x:row r="15" ht="20" customHeight="1">
      <x:c r="A15" s="121" t="str">
        <x:v>Annual platform license/support</x:v>
      </x:c>
      <x:c r="B15" s="171" t="n">
        <x:v>0</x:v>
      </x:c>
      <x:c r="C15" s="172" t="n">
        <x:v>1</x:v>
      </x:c>
      <x:c r="D15" s="172" t="n">
        <x:v>3</x:v>
      </x:c>
      <x:c r="E15" s="172" t="n">
        <x:v>6</x:v>
      </x:c>
      <x:c r="F15" s="173" t="n">
        <x:v>10</x:v>
      </x:c>
      <x:c r="G15" s="121"/>
    </x:row>
    <x:row r="16" ht="20" customHeight="1">
      <x:c r="A16" s="121"/>
      <x:c r="B16" s="121"/>
      <x:c r="C16" s="121"/>
      <x:c r="D16" s="121"/>
      <x:c r="E16" s="121"/>
      <x:c r="F16" s="121"/>
      <x:c r="G16" s="121"/>
    </x:row>
    <x:row r="17" ht="22" customHeight="1">
      <x:c r="A17" s="189" t="str">
        <x:v>Operating expense assumptions</x:v>
      </x:c>
      <x:c r="B17" s="189" t="str">
        <x:v>Operating expense assumptions</x:v>
      </x:c>
      <x:c r="C17" s="189" t="str">
        <x:v>Operating expense assumptions</x:v>
      </x:c>
      <x:c r="D17" s="189" t="str">
        <x:v>Operating expense assumptions</x:v>
      </x:c>
      <x:c r="E17" s="189" t="str">
        <x:v>Operating expense assumptions</x:v>
      </x:c>
      <x:c r="F17" s="189" t="str">
        <x:v>Operating expense assumptions</x:v>
      </x:c>
      <x:c r="G17" s="189" t="str">
        <x:v>Operating expense assumptions</x:v>
      </x:c>
    </x:row>
    <x:row r="18" ht="20" customHeight="1">
      <x:c r="A18" s="140" t="str">
        <x:v>Expense</x:v>
      </x:c>
      <x:c r="B18" s="140" t="str">
        <x:v>Year 1</x:v>
      </x:c>
      <x:c r="C18" s="140" t="str">
        <x:v>Year 2</x:v>
      </x:c>
      <x:c r="D18" s="140" t="str">
        <x:v>Year 3</x:v>
      </x:c>
      <x:c r="E18" s="140" t="str">
        <x:v>Year 4</x:v>
      </x:c>
      <x:c r="F18" s="140" t="str">
        <x:v>Year 5</x:v>
      </x:c>
      <x:c r="G18" s="121"/>
    </x:row>
    <x:row r="19" ht="20" customHeight="1">
      <x:c r="A19" s="121" t="str">
        <x:v>Founder compensation</x:v>
      </x:c>
      <x:c r="B19" s="159" t="n">
        <x:v>60000</x:v>
      </x:c>
      <x:c r="C19" s="174" t="n">
        <x:v>75000</x:v>
      </x:c>
      <x:c r="D19" s="174" t="n">
        <x:v>95000</x:v>
      </x:c>
      <x:c r="E19" s="174" t="n">
        <x:v>115000</x:v>
      </x:c>
      <x:c r="F19" s="160" t="n">
        <x:v>135000</x:v>
      </x:c>
      <x:c r="G19" s="121"/>
    </x:row>
    <x:row r="20" ht="20" customHeight="1">
      <x:c r="A20" s="121" t="str">
        <x:v>Engineering and validation contractors</x:v>
      </x:c>
      <x:c r="B20" s="161" t="n">
        <x:v>30000</x:v>
      </x:c>
      <x:c r="C20" s="175" t="n">
        <x:v>50000</x:v>
      </x:c>
      <x:c r="D20" s="175" t="n">
        <x:v>85000</x:v>
      </x:c>
      <x:c r="E20" s="175" t="n">
        <x:v>120000</x:v>
      </x:c>
      <x:c r="F20" s="162" t="n">
        <x:v>160000</x:v>
      </x:c>
      <x:c r="G20" s="121"/>
    </x:row>
    <x:row r="21" ht="20" customHeight="1">
      <x:c r="A21" s="121" t="str">
        <x:v>Sales and marketing</x:v>
      </x:c>
      <x:c r="B21" s="161" t="n">
        <x:v>15000</x:v>
      </x:c>
      <x:c r="C21" s="175" t="n">
        <x:v>30000</x:v>
      </x:c>
      <x:c r="D21" s="175" t="n">
        <x:v>60000</x:v>
      </x:c>
      <x:c r="E21" s="175" t="n">
        <x:v>110000</x:v>
      </x:c>
      <x:c r="F21" s="162" t="n">
        <x:v>170000</x:v>
      </x:c>
      <x:c r="G21" s="121"/>
    </x:row>
    <x:row r="22" ht="20" customHeight="1">
      <x:c r="A22" s="121" t="str">
        <x:v>Cloud, data, and software tools</x:v>
      </x:c>
      <x:c r="B22" s="161" t="n">
        <x:v>12000</x:v>
      </x:c>
      <x:c r="C22" s="175" t="n">
        <x:v>20000</x:v>
      </x:c>
      <x:c r="D22" s="175" t="n">
        <x:v>32000</x:v>
      </x:c>
      <x:c r="E22" s="175" t="n">
        <x:v>45000</x:v>
      </x:c>
      <x:c r="F22" s="162" t="n">
        <x:v>60000</x:v>
      </x:c>
      <x:c r="G22" s="121"/>
    </x:row>
    <x:row r="23" ht="20" customHeight="1">
      <x:c r="A23" s="121" t="str">
        <x:v>Legal, insurance, and compliance</x:v>
      </x:c>
      <x:c r="B23" s="161" t="n">
        <x:v>10000</x:v>
      </x:c>
      <x:c r="C23" s="175" t="n">
        <x:v>15000</x:v>
      </x:c>
      <x:c r="D23" s="175" t="n">
        <x:v>22000</x:v>
      </x:c>
      <x:c r="E23" s="175" t="n">
        <x:v>28000</x:v>
      </x:c>
      <x:c r="F23" s="162" t="n">
        <x:v>35000</x:v>
      </x:c>
      <x:c r="G23" s="121"/>
    </x:row>
    <x:row r="24" ht="20" customHeight="1">
      <x:c r="A24" s="121" t="str">
        <x:v>General and administrative</x:v>
      </x:c>
      <x:c r="B24" s="163" t="n">
        <x:v>8000</x:v>
      </x:c>
      <x:c r="C24" s="176" t="n">
        <x:v>12000</x:v>
      </x:c>
      <x:c r="D24" s="176" t="n">
        <x:v>18000</x:v>
      </x:c>
      <x:c r="E24" s="176" t="n">
        <x:v>25000</x:v>
      </x:c>
      <x:c r="F24" s="164" t="n">
        <x:v>35000</x:v>
      </x:c>
      <x:c r="G24" s="121"/>
    </x:row>
    <x:row r="25" ht="20" customHeight="1">
      <x:c r="A25" s="121"/>
      <x:c r="B25" s="121"/>
      <x:c r="C25" s="121"/>
      <x:c r="D25" s="121"/>
      <x:c r="E25" s="121"/>
      <x:c r="F25" s="121"/>
      <x:c r="G25" s="121"/>
    </x:row>
    <x:row r="26" ht="22" customHeight="1">
      <x:c r="A26" s="189" t="str">
        <x:v>Cash and financing assumptions</x:v>
      </x:c>
      <x:c r="B26" s="189" t="str">
        <x:v>Cash and financing assumptions</x:v>
      </x:c>
      <x:c r="C26" s="189" t="str">
        <x:v>Cash and financing assumptions</x:v>
      </x:c>
      <x:c r="D26" s="189" t="str">
        <x:v>Cash and financing assumptions</x:v>
      </x:c>
      <x:c r="E26" s="189" t="str">
        <x:v>Cash and financing assumptions</x:v>
      </x:c>
      <x:c r="F26" s="189" t="str">
        <x:v>Cash and financing assumptions</x:v>
      </x:c>
      <x:c r="G26" s="189" t="str">
        <x:v>Cash and financing assumptions</x:v>
      </x:c>
    </x:row>
    <x:row r="27" ht="20" customHeight="1">
      <x:c r="A27" s="140" t="str">
        <x:v>Input</x:v>
      </x:c>
      <x:c r="B27" s="140" t="str">
        <x:v>Year 1</x:v>
      </x:c>
      <x:c r="C27" s="140" t="str">
        <x:v>Year 2</x:v>
      </x:c>
      <x:c r="D27" s="140" t="str">
        <x:v>Year 3</x:v>
      </x:c>
      <x:c r="E27" s="140" t="str">
        <x:v>Year 4</x:v>
      </x:c>
      <x:c r="F27" s="140" t="str">
        <x:v>Year 5</x:v>
      </x:c>
      <x:c r="G27" s="121"/>
    </x:row>
    <x:row r="28" ht="20" customHeight="1">
      <x:c r="A28" s="121" t="str">
        <x:v>Illustrative external funding</x:v>
      </x:c>
      <x:c r="B28" s="159" t="n">
        <x:v>250000</x:v>
      </x:c>
      <x:c r="C28" s="174" t="n">
        <x:v>0</x:v>
      </x:c>
      <x:c r="D28" s="174" t="n">
        <x:v>0</x:v>
      </x:c>
      <x:c r="E28" s="174" t="n">
        <x:v>0</x:v>
      </x:c>
      <x:c r="F28" s="160" t="n">
        <x:v>0</x:v>
      </x:c>
      <x:c r="G28" s="122" t="str">
        <x:v>Illustrative bridge only; not committed or awarded</x:v>
      </x:c>
    </x:row>
    <x:row r="29" ht="20" customHeight="1">
      <x:c r="A29" s="121" t="str">
        <x:v>Capital expenditures</x:v>
      </x:c>
      <x:c r="B29" s="163" t="n">
        <x:v>5000</x:v>
      </x:c>
      <x:c r="C29" s="176" t="n">
        <x:v>8000</x:v>
      </x:c>
      <x:c r="D29" s="176" t="n">
        <x:v>12000</x:v>
      </x:c>
      <x:c r="E29" s="176" t="n">
        <x:v>18000</x:v>
      </x:c>
      <x:c r="F29" s="164" t="n">
        <x:v>25000</x:v>
      </x:c>
      <x:c r="G29" s="122" t="str">
        <x:v>Equipment and capitalized implementation tools</x:v>
      </x:c>
    </x:row>
  </x:sheetData>
  <x:mergeCells>
    <x:mergeCell ref="A1:G1"/>
    <x:mergeCell ref="A3:G3"/>
    <x:mergeCell ref="A5:G5"/>
    <x:mergeCell ref="A11:G11"/>
    <x:mergeCell ref="A17:G17"/>
    <x:mergeCell ref="A26:G26"/>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9" hidden="0" customWidth="1"/>
    <x:col min="2" max="2" width="15" hidden="0" customWidth="1"/>
    <x:col min="3" max="3" width="15" hidden="0" customWidth="1"/>
    <x:col min="4" max="4" width="15" hidden="0" customWidth="1"/>
    <x:col min="5" max="5" width="15" hidden="0" customWidth="1"/>
    <x:col min="6" max="6" width="15" hidden="0" customWidth="1"/>
  </x:cols>
  <x:sheetData>
    <x:row r="1" ht="34" customHeight="1">
      <x:c r="A1" s="188" t="str">
        <x:v>Five-Year Forecast</x:v>
      </x:c>
      <x:c r="B1" s="188" t="str">
        <x:v>Five-Year Forecast</x:v>
      </x:c>
      <x:c r="C1" s="188" t="str">
        <x:v>Five-Year Forecast</x:v>
      </x:c>
      <x:c r="D1" s="188" t="str">
        <x:v>Five-Year Forecast</x:v>
      </x:c>
      <x:c r="E1" s="188" t="str">
        <x:v>Five-Year Forecast</x:v>
      </x:c>
      <x:c r="F1" s="188" t="str">
        <x:v>Five-Year Forecast</x:v>
      </x:c>
    </x:row>
    <x:row r="2" ht="20" customHeight="1">
      <x:c r="A2" s="121"/>
      <x:c r="B2" s="121"/>
      <x:c r="C2" s="121"/>
      <x:c r="D2" s="121"/>
      <x:c r="E2" s="121"/>
      <x:c r="F2" s="121"/>
    </x:row>
    <x:row r="3" ht="20" customHeight="1">
      <x:c r="A3" s="140" t="str">
        <x:v>USD</x:v>
      </x:c>
      <x:c r="B3" s="140" t="str">
        <x:v>Year 1</x:v>
      </x:c>
      <x:c r="C3" s="140" t="str">
        <x:v>Year 2</x:v>
      </x:c>
      <x:c r="D3" s="140" t="str">
        <x:v>Year 3</x:v>
      </x:c>
      <x:c r="E3" s="140" t="str">
        <x:v>Year 4</x:v>
      </x:c>
      <x:c r="F3" s="140" t="str">
        <x:v>Year 5</x:v>
      </x:c>
    </x:row>
    <x:row r="4" ht="22" customHeight="1">
      <x:c r="A4" s="189" t="str">
        <x:v>Revenue</x:v>
      </x:c>
      <x:c r="B4" s="189" t="str">
        <x:v>Revenue</x:v>
      </x:c>
      <x:c r="C4" s="189" t="str">
        <x:v>Revenue</x:v>
      </x:c>
      <x:c r="D4" s="189" t="str">
        <x:v>Revenue</x:v>
      </x:c>
      <x:c r="E4" s="189" t="str">
        <x:v>Revenue</x:v>
      </x:c>
      <x:c r="F4" s="189" t="str">
        <x:v>Revenue</x:v>
      </x:c>
    </x:row>
    <x:row r="5" ht="20" customHeight="1">
      <x:c r="A5" s="121" t="str">
        <x:v>Evidence-review sprint</x:v>
      </x:c>
      <x:c r="B5" s="128" t="n">
        <x:f>'Assumptions'!$B$7*'Assumptions'!B13</x:f>
        <x:v>30000</x:v>
      </x:c>
      <x:c r="C5" s="128" t="n">
        <x:f>'Assumptions'!$B$7*'Assumptions'!C13</x:f>
        <x:v>60000</x:v>
      </x:c>
      <x:c r="D5" s="128" t="n">
        <x:f>'Assumptions'!$B$7*'Assumptions'!D13</x:f>
        <x:v>90000</x:v>
      </x:c>
      <x:c r="E5" s="128" t="n">
        <x:f>'Assumptions'!$B$7*'Assumptions'!E13</x:f>
        <x:v>120000</x:v>
      </x:c>
      <x:c r="F5" s="128" t="n">
        <x:f>'Assumptions'!$B$7*'Assumptions'!F13</x:f>
        <x:v>150000</x:v>
      </x:c>
    </x:row>
    <x:row r="6" ht="20" customHeight="1">
      <x:c r="A6" s="121" t="str">
        <x:v>Buyer-controlled replay pilot</x:v>
      </x:c>
      <x:c r="B6" s="128" t="n">
        <x:f>'Assumptions'!$B$8*'Assumptions'!B14</x:f>
        <x:v>35000</x:v>
      </x:c>
      <x:c r="C6" s="128" t="n">
        <x:f>'Assumptions'!$B$8*'Assumptions'!C14</x:f>
        <x:v>105000</x:v>
      </x:c>
      <x:c r="D6" s="128" t="n">
        <x:f>'Assumptions'!$B$8*'Assumptions'!D14</x:f>
        <x:v>210000</x:v>
      </x:c>
      <x:c r="E6" s="128" t="n">
        <x:f>'Assumptions'!$B$8*'Assumptions'!E14</x:f>
        <x:v>350000</x:v>
      </x:c>
      <x:c r="F6" s="128" t="n">
        <x:f>'Assumptions'!$B$8*'Assumptions'!F14</x:f>
        <x:v>490000</x:v>
      </x:c>
    </x:row>
    <x:row r="7" ht="20" customHeight="1">
      <x:c r="A7" s="121" t="str">
        <x:v>Annual platform license/support</x:v>
      </x:c>
      <x:c r="B7" s="128" t="n">
        <x:f>'Assumptions'!$B$9*'Assumptions'!B15</x:f>
        <x:v>0</x:v>
      </x:c>
      <x:c r="C7" s="128" t="n">
        <x:f>'Assumptions'!$B$9*'Assumptions'!C15</x:f>
        <x:v>90000</x:v>
      </x:c>
      <x:c r="D7" s="128" t="n">
        <x:f>'Assumptions'!$B$9*'Assumptions'!D15</x:f>
        <x:v>270000</x:v>
      </x:c>
      <x:c r="E7" s="128" t="n">
        <x:f>'Assumptions'!$B$9*'Assumptions'!E15</x:f>
        <x:v>540000</x:v>
      </x:c>
      <x:c r="F7" s="128" t="n">
        <x:f>'Assumptions'!$B$9*'Assumptions'!F15</x:f>
        <x:v>900000</x:v>
      </x:c>
    </x:row>
    <x:row r="8" ht="20" customHeight="1">
      <x:c r="A8" s="180" t="str">
        <x:v>Total Revenue</x:v>
      </x:c>
      <x:c r="B8" s="180" t="n">
        <x:f>SUM(B5:B7)</x:f>
        <x:v>65000</x:v>
      </x:c>
      <x:c r="C8" s="180" t="n">
        <x:f>SUM(C5:C7)</x:f>
        <x:v>255000</x:v>
      </x:c>
      <x:c r="D8" s="180" t="n">
        <x:f>SUM(D5:D7)</x:f>
        <x:v>570000</x:v>
      </x:c>
      <x:c r="E8" s="180" t="n">
        <x:f>SUM(E5:E7)</x:f>
        <x:v>1010000</x:v>
      </x:c>
      <x:c r="F8" s="180" t="n">
        <x:f>SUM(F5:F7)</x:f>
        <x:v>1540000</x:v>
      </x:c>
    </x:row>
    <x:row r="9" ht="20" customHeight="1">
      <x:c r="A9" s="121"/>
      <x:c r="B9" s="121"/>
      <x:c r="C9" s="121"/>
      <x:c r="D9" s="121"/>
      <x:c r="E9" s="121"/>
      <x:c r="F9" s="121"/>
    </x:row>
    <x:row r="10" ht="22" customHeight="1">
      <x:c r="A10" s="189" t="str">
        <x:v>Cost of revenue</x:v>
      </x:c>
      <x:c r="B10" s="189" t="str">
        <x:v>Cost of revenue</x:v>
      </x:c>
      <x:c r="C10" s="189" t="str">
        <x:v>Cost of revenue</x:v>
      </x:c>
      <x:c r="D10" s="189" t="str">
        <x:v>Cost of revenue</x:v>
      </x:c>
      <x:c r="E10" s="189" t="str">
        <x:v>Cost of revenue</x:v>
      </x:c>
      <x:c r="F10" s="189" t="str">
        <x:v>Cost of revenue</x:v>
      </x:c>
    </x:row>
    <x:row r="11" ht="20" customHeight="1">
      <x:c r="A11" s="121" t="str">
        <x:v>Evidence-review sprint COGS</x:v>
      </x:c>
      <x:c r="B11" s="128" t="n">
        <x:f>'Assumptions'!$C$7*'Assumptions'!B13</x:f>
        <x:v>6000</x:v>
      </x:c>
      <x:c r="C11" s="128" t="n">
        <x:f>'Assumptions'!$C$7*'Assumptions'!C13</x:f>
        <x:v>12000</x:v>
      </x:c>
      <x:c r="D11" s="128" t="n">
        <x:f>'Assumptions'!$C$7*'Assumptions'!D13</x:f>
        <x:v>18000</x:v>
      </x:c>
      <x:c r="E11" s="128" t="n">
        <x:f>'Assumptions'!$C$7*'Assumptions'!E13</x:f>
        <x:v>24000</x:v>
      </x:c>
      <x:c r="F11" s="128" t="n">
        <x:f>'Assumptions'!$C$7*'Assumptions'!F13</x:f>
        <x:v>30000</x:v>
      </x:c>
    </x:row>
    <x:row r="12" ht="20" customHeight="1">
      <x:c r="A12" s="121" t="str">
        <x:v>Replay pilot COGS</x:v>
      </x:c>
      <x:c r="B12" s="128" t="n">
        <x:f>'Assumptions'!$C$8*'Assumptions'!B14</x:f>
        <x:v>10500</x:v>
      </x:c>
      <x:c r="C12" s="128" t="n">
        <x:f>'Assumptions'!$C$8*'Assumptions'!C14</x:f>
        <x:v>31500</x:v>
      </x:c>
      <x:c r="D12" s="128" t="n">
        <x:f>'Assumptions'!$C$8*'Assumptions'!D14</x:f>
        <x:v>63000</x:v>
      </x:c>
      <x:c r="E12" s="128" t="n">
        <x:f>'Assumptions'!$C$8*'Assumptions'!E14</x:f>
        <x:v>105000</x:v>
      </x:c>
      <x:c r="F12" s="128" t="n">
        <x:f>'Assumptions'!$C$8*'Assumptions'!F14</x:f>
        <x:v>147000</x:v>
      </x:c>
    </x:row>
    <x:row r="13" ht="20" customHeight="1">
      <x:c r="A13" s="121" t="str">
        <x:v>License/support COGS</x:v>
      </x:c>
      <x:c r="B13" s="128" t="n">
        <x:f>'Assumptions'!$C$9*'Assumptions'!B15</x:f>
        <x:v>0</x:v>
      </x:c>
      <x:c r="C13" s="128" t="n">
        <x:f>'Assumptions'!$C$9*'Assumptions'!C15</x:f>
        <x:v>18000</x:v>
      </x:c>
      <x:c r="D13" s="128" t="n">
        <x:f>'Assumptions'!$C$9*'Assumptions'!D15</x:f>
        <x:v>54000</x:v>
      </x:c>
      <x:c r="E13" s="128" t="n">
        <x:f>'Assumptions'!$C$9*'Assumptions'!E15</x:f>
        <x:v>108000</x:v>
      </x:c>
      <x:c r="F13" s="128" t="n">
        <x:f>'Assumptions'!$C$9*'Assumptions'!F15</x:f>
        <x:v>180000</x:v>
      </x:c>
    </x:row>
    <x:row r="14" ht="20" customHeight="1">
      <x:c r="A14" s="180" t="str">
        <x:v>Total COGS</x:v>
      </x:c>
      <x:c r="B14" s="180" t="n">
        <x:f>SUM(B11:B13)</x:f>
        <x:v>16500</x:v>
      </x:c>
      <x:c r="C14" s="180" t="n">
        <x:f>SUM(C11:C13)</x:f>
        <x:v>61500</x:v>
      </x:c>
      <x:c r="D14" s="180" t="n">
        <x:f>SUM(D11:D13)</x:f>
        <x:v>135000</x:v>
      </x:c>
      <x:c r="E14" s="180" t="n">
        <x:f>SUM(E11:E13)</x:f>
        <x:v>237000</x:v>
      </x:c>
      <x:c r="F14" s="180" t="n">
        <x:f>SUM(F11:F13)</x:f>
        <x:v>357000</x:v>
      </x:c>
    </x:row>
    <x:row r="15" ht="20" customHeight="1">
      <x:c r="A15" s="121"/>
      <x:c r="B15" s="121"/>
      <x:c r="C15" s="121"/>
      <x:c r="D15" s="121"/>
      <x:c r="E15" s="121"/>
      <x:c r="F15" s="121"/>
    </x:row>
    <x:row r="16" ht="20" customHeight="1">
      <x:c r="A16" s="180" t="str">
        <x:v>Gross Profit</x:v>
      </x:c>
      <x:c r="B16" s="180" t="n">
        <x:f>B8-B14</x:f>
        <x:v>48500</x:v>
      </x:c>
      <x:c r="C16" s="180" t="n">
        <x:f>C8-C14</x:f>
        <x:v>193500</x:v>
      </x:c>
      <x:c r="D16" s="180" t="n">
        <x:f>D8-D14</x:f>
        <x:v>435000</x:v>
      </x:c>
      <x:c r="E16" s="180" t="n">
        <x:f>E8-E14</x:f>
        <x:v>773000</x:v>
      </x:c>
      <x:c r="F16" s="180" t="n">
        <x:f>F8-F14</x:f>
        <x:v>1183000</x:v>
      </x:c>
    </x:row>
    <x:row r="17" ht="20" customHeight="1">
      <x:c r="A17" s="181" t="str">
        <x:v>Gross Margin</x:v>
      </x:c>
      <x:c r="B17" s="182" t="n">
        <x:f>IFERROR(B16/B8,0)</x:f>
        <x:v>0.7461538461538462</x:v>
      </x:c>
      <x:c r="C17" s="182" t="n">
        <x:f>IFERROR(C16/C8,0)</x:f>
        <x:v>0.7588235294117647</x:v>
      </x:c>
      <x:c r="D17" s="182" t="n">
        <x:f>IFERROR(D16/D8,0)</x:f>
        <x:v>0.7631578947368421</x:v>
      </x:c>
      <x:c r="E17" s="182" t="n">
        <x:f>IFERROR(E16/E8,0)</x:f>
        <x:v>0.7653465346534654</x:v>
      </x:c>
      <x:c r="F17" s="182" t="n">
        <x:f>IFERROR(F16/F8,0)</x:f>
        <x:v>0.7681818181818182</x:v>
      </x:c>
    </x:row>
    <x:row r="18" ht="20" customHeight="1">
      <x:c r="A18" s="121"/>
      <x:c r="B18" s="121"/>
      <x:c r="C18" s="121"/>
      <x:c r="D18" s="121"/>
      <x:c r="E18" s="121"/>
      <x:c r="F18" s="121"/>
    </x:row>
    <x:row r="19" ht="22" customHeight="1">
      <x:c r="A19" s="189" t="str">
        <x:v>Operating expenses</x:v>
      </x:c>
      <x:c r="B19" s="189" t="str">
        <x:v>Operating expenses</x:v>
      </x:c>
      <x:c r="C19" s="189" t="str">
        <x:v>Operating expenses</x:v>
      </x:c>
      <x:c r="D19" s="189" t="str">
        <x:v>Operating expenses</x:v>
      </x:c>
      <x:c r="E19" s="189" t="str">
        <x:v>Operating expenses</x:v>
      </x:c>
      <x:c r="F19" s="189" t="str">
        <x:v>Operating expenses</x:v>
      </x:c>
    </x:row>
    <x:row r="20" ht="20" customHeight="1">
      <x:c r="A20" s="121" t="str">
        <x:v>Founder compensation</x:v>
      </x:c>
      <x:c r="B20" s="128" t="n">
        <x:f>'Assumptions'!B19</x:f>
        <x:v>60000</x:v>
      </x:c>
      <x:c r="C20" s="128" t="n">
        <x:f>'Assumptions'!C19</x:f>
        <x:v>75000</x:v>
      </x:c>
      <x:c r="D20" s="128" t="n">
        <x:f>'Assumptions'!D19</x:f>
        <x:v>95000</x:v>
      </x:c>
      <x:c r="E20" s="128" t="n">
        <x:f>'Assumptions'!E19</x:f>
        <x:v>115000</x:v>
      </x:c>
      <x:c r="F20" s="128" t="n">
        <x:f>'Assumptions'!F19</x:f>
        <x:v>135000</x:v>
      </x:c>
    </x:row>
    <x:row r="21" ht="20" customHeight="1">
      <x:c r="A21" s="121" t="str">
        <x:v>Engineering and validation contractors</x:v>
      </x:c>
      <x:c r="B21" s="128" t="n">
        <x:f>'Assumptions'!B20</x:f>
        <x:v>30000</x:v>
      </x:c>
      <x:c r="C21" s="128" t="n">
        <x:f>'Assumptions'!C20</x:f>
        <x:v>50000</x:v>
      </x:c>
      <x:c r="D21" s="128" t="n">
        <x:f>'Assumptions'!D20</x:f>
        <x:v>85000</x:v>
      </x:c>
      <x:c r="E21" s="128" t="n">
        <x:f>'Assumptions'!E20</x:f>
        <x:v>120000</x:v>
      </x:c>
      <x:c r="F21" s="128" t="n">
        <x:f>'Assumptions'!F20</x:f>
        <x:v>160000</x:v>
      </x:c>
    </x:row>
    <x:row r="22" ht="20" customHeight="1">
      <x:c r="A22" s="121" t="str">
        <x:v>Sales and marketing</x:v>
      </x:c>
      <x:c r="B22" s="128" t="n">
        <x:f>'Assumptions'!B21</x:f>
        <x:v>15000</x:v>
      </x:c>
      <x:c r="C22" s="128" t="n">
        <x:f>'Assumptions'!C21</x:f>
        <x:v>30000</x:v>
      </x:c>
      <x:c r="D22" s="128" t="n">
        <x:f>'Assumptions'!D21</x:f>
        <x:v>60000</x:v>
      </x:c>
      <x:c r="E22" s="128" t="n">
        <x:f>'Assumptions'!E21</x:f>
        <x:v>110000</x:v>
      </x:c>
      <x:c r="F22" s="128" t="n">
        <x:f>'Assumptions'!F21</x:f>
        <x:v>170000</x:v>
      </x:c>
    </x:row>
    <x:row r="23" ht="20" customHeight="1">
      <x:c r="A23" s="121" t="str">
        <x:v>Cloud, data, and software tools</x:v>
      </x:c>
      <x:c r="B23" s="128" t="n">
        <x:f>'Assumptions'!B22</x:f>
        <x:v>12000</x:v>
      </x:c>
      <x:c r="C23" s="128" t="n">
        <x:f>'Assumptions'!C22</x:f>
        <x:v>20000</x:v>
      </x:c>
      <x:c r="D23" s="128" t="n">
        <x:f>'Assumptions'!D22</x:f>
        <x:v>32000</x:v>
      </x:c>
      <x:c r="E23" s="128" t="n">
        <x:f>'Assumptions'!E22</x:f>
        <x:v>45000</x:v>
      </x:c>
      <x:c r="F23" s="128" t="n">
        <x:f>'Assumptions'!F22</x:f>
        <x:v>60000</x:v>
      </x:c>
    </x:row>
    <x:row r="24" ht="20" customHeight="1">
      <x:c r="A24" s="121" t="str">
        <x:v>Legal, insurance, and compliance</x:v>
      </x:c>
      <x:c r="B24" s="128" t="n">
        <x:f>'Assumptions'!B23</x:f>
        <x:v>10000</x:v>
      </x:c>
      <x:c r="C24" s="128" t="n">
        <x:f>'Assumptions'!C23</x:f>
        <x:v>15000</x:v>
      </x:c>
      <x:c r="D24" s="128" t="n">
        <x:f>'Assumptions'!D23</x:f>
        <x:v>22000</x:v>
      </x:c>
      <x:c r="E24" s="128" t="n">
        <x:f>'Assumptions'!E23</x:f>
        <x:v>28000</x:v>
      </x:c>
      <x:c r="F24" s="128" t="n">
        <x:f>'Assumptions'!F23</x:f>
        <x:v>35000</x:v>
      </x:c>
    </x:row>
    <x:row r="25" ht="20" customHeight="1">
      <x:c r="A25" s="121" t="str">
        <x:v>General and administrative</x:v>
      </x:c>
      <x:c r="B25" s="128" t="n">
        <x:f>'Assumptions'!B24</x:f>
        <x:v>8000</x:v>
      </x:c>
      <x:c r="C25" s="128" t="n">
        <x:f>'Assumptions'!C24</x:f>
        <x:v>12000</x:v>
      </x:c>
      <x:c r="D25" s="128" t="n">
        <x:f>'Assumptions'!D24</x:f>
        <x:v>18000</x:v>
      </x:c>
      <x:c r="E25" s="128" t="n">
        <x:f>'Assumptions'!E24</x:f>
        <x:v>25000</x:v>
      </x:c>
      <x:c r="F25" s="128" t="n">
        <x:f>'Assumptions'!F24</x:f>
        <x:v>35000</x:v>
      </x:c>
    </x:row>
    <x:row r="26" ht="20" customHeight="1">
      <x:c r="A26" s="180" t="str">
        <x:v>Total Operating Expenses</x:v>
      </x:c>
      <x:c r="B26" s="180" t="n">
        <x:f>SUM(B20:B25)</x:f>
        <x:v>135000</x:v>
      </x:c>
      <x:c r="C26" s="180" t="n">
        <x:f>SUM(C20:C25)</x:f>
        <x:v>202000</x:v>
      </x:c>
      <x:c r="D26" s="180" t="n">
        <x:f>SUM(D20:D25)</x:f>
        <x:v>312000</x:v>
      </x:c>
      <x:c r="E26" s="180" t="n">
        <x:f>SUM(E20:E25)</x:f>
        <x:v>443000</x:v>
      </x:c>
      <x:c r="F26" s="180" t="n">
        <x:f>SUM(F20:F25)</x:f>
        <x:v>595000</x:v>
      </x:c>
    </x:row>
    <x:row r="27" ht="20" customHeight="1">
      <x:c r="A27" s="121"/>
      <x:c r="B27" s="121"/>
      <x:c r="C27" s="121"/>
      <x:c r="D27" s="121"/>
      <x:c r="E27" s="121"/>
      <x:c r="F27" s="121"/>
    </x:row>
    <x:row r="28" ht="20" customHeight="1">
      <x:c r="A28" s="180" t="str">
        <x:v>EBITDA</x:v>
      </x:c>
      <x:c r="B28" s="180" t="n">
        <x:f>B16-B26</x:f>
        <x:v>-86500</x:v>
      </x:c>
      <x:c r="C28" s="180" t="n">
        <x:f>C16-C26</x:f>
        <x:v>-8500</x:v>
      </x:c>
      <x:c r="D28" s="180" t="n">
        <x:f>D16-D26</x:f>
        <x:v>123000</x:v>
      </x:c>
      <x:c r="E28" s="180" t="n">
        <x:f>E16-E26</x:f>
        <x:v>330000</x:v>
      </x:c>
      <x:c r="F28" s="180" t="n">
        <x:f>F16-F26</x:f>
        <x:v>588000</x:v>
      </x:c>
    </x:row>
    <x:row r="29" ht="20" customHeight="1">
      <x:c r="A29" s="121" t="str">
        <x:v>EBITDA Margin</x:v>
      </x:c>
      <x:c r="B29" s="129" t="n">
        <x:f>IFERROR(B28/B8,0)</x:f>
        <x:v>-1.3307692307692307</x:v>
      </x:c>
      <x:c r="C29" s="129" t="n">
        <x:f>IFERROR(C28/C8,0)</x:f>
        <x:v>-0.03333333333333333</x:v>
      </x:c>
      <x:c r="D29" s="129" t="n">
        <x:f>IFERROR(D28/D8,0)</x:f>
        <x:v>0.21578947368421053</x:v>
      </x:c>
      <x:c r="E29" s="129" t="n">
        <x:f>IFERROR(E28/E8,0)</x:f>
        <x:v>0.32673267326732675</x:v>
      </x:c>
      <x:c r="F29" s="129" t="n">
        <x:f>IFERROR(F28/F8,0)</x:f>
        <x:v>0.38181818181818183</x:v>
      </x:c>
    </x:row>
    <x:row r="30" ht="20" customHeight="1">
      <x:c r="A30" s="121"/>
      <x:c r="B30" s="121"/>
      <x:c r="C30" s="121"/>
      <x:c r="D30" s="121"/>
      <x:c r="E30" s="121"/>
      <x:c r="F30" s="121"/>
    </x:row>
    <x:row r="31" ht="22" customHeight="1">
      <x:c r="A31" s="189" t="str">
        <x:v>Simplified cash runway</x:v>
      </x:c>
      <x:c r="B31" s="189" t="str">
        <x:v>Simplified cash runway</x:v>
      </x:c>
      <x:c r="C31" s="189" t="str">
        <x:v>Simplified cash runway</x:v>
      </x:c>
      <x:c r="D31" s="189" t="str">
        <x:v>Simplified cash runway</x:v>
      </x:c>
      <x:c r="E31" s="189" t="str">
        <x:v>Simplified cash runway</x:v>
      </x:c>
      <x:c r="F31" s="189" t="str">
        <x:v>Simplified cash runway</x:v>
      </x:c>
    </x:row>
    <x:row r="32" ht="20" customHeight="1">
      <x:c r="A32" s="121" t="str">
        <x:v>Illustrative external funding</x:v>
      </x:c>
      <x:c r="B32" s="128" t="n">
        <x:f>'Assumptions'!B28</x:f>
        <x:v>250000</x:v>
      </x:c>
      <x:c r="C32" s="128" t="n">
        <x:f>'Assumptions'!C28</x:f>
        <x:v>0</x:v>
      </x:c>
      <x:c r="D32" s="128" t="n">
        <x:f>'Assumptions'!D28</x:f>
        <x:v>0</x:v>
      </x:c>
      <x:c r="E32" s="128" t="n">
        <x:f>'Assumptions'!E28</x:f>
        <x:v>0</x:v>
      </x:c>
      <x:c r="F32" s="128" t="n">
        <x:f>'Assumptions'!F28</x:f>
        <x:v>0</x:v>
      </x:c>
    </x:row>
    <x:row r="33" ht="20" customHeight="1">
      <x:c r="A33" s="121" t="str">
        <x:v>Capital expenditures</x:v>
      </x:c>
      <x:c r="B33" s="128" t="n">
        <x:f>'Assumptions'!B29</x:f>
        <x:v>5000</x:v>
      </x:c>
      <x:c r="C33" s="128" t="n">
        <x:f>'Assumptions'!C29</x:f>
        <x:v>8000</x:v>
      </x:c>
      <x:c r="D33" s="128" t="n">
        <x:f>'Assumptions'!D29</x:f>
        <x:v>12000</x:v>
      </x:c>
      <x:c r="E33" s="128" t="n">
        <x:f>'Assumptions'!E29</x:f>
        <x:v>18000</x:v>
      </x:c>
      <x:c r="F33" s="128" t="n">
        <x:f>'Assumptions'!F29</x:f>
        <x:v>25000</x:v>
      </x:c>
    </x:row>
    <x:row r="34" ht="20" customHeight="1">
      <x:c r="A34" s="121" t="str">
        <x:v>Net Cash Change</x:v>
      </x:c>
      <x:c r="B34" s="128" t="n">
        <x:f>B28-B33+B32</x:f>
        <x:v>158500</x:v>
      </x:c>
      <x:c r="C34" s="128" t="n">
        <x:f>C28-C33+C32</x:f>
        <x:v>-16500</x:v>
      </x:c>
      <x:c r="D34" s="128" t="n">
        <x:f>D28-D33+D32</x:f>
        <x:v>111000</x:v>
      </x:c>
      <x:c r="E34" s="128" t="n">
        <x:f>E28-E33+E32</x:f>
        <x:v>312000</x:v>
      </x:c>
      <x:c r="F34" s="128" t="n">
        <x:f>F28-F33+F32</x:f>
        <x:v>563000</x:v>
      </x:c>
    </x:row>
    <x:row r="35" ht="20" customHeight="1">
      <x:c r="A35" s="121" t="str">
        <x:v>Beginning Cash</x:v>
      </x:c>
      <x:c r="B35" s="128" t="n">
        <x:v>0</x:v>
      </x:c>
      <x:c r="C35" s="128" t="n">
        <x:f>B36</x:f>
        <x:v>158500</x:v>
      </x:c>
      <x:c r="D35" s="128" t="n">
        <x:f>C36</x:f>
        <x:v>142000</x:v>
      </x:c>
      <x:c r="E35" s="128" t="n">
        <x:f>D36</x:f>
        <x:v>253000</x:v>
      </x:c>
      <x:c r="F35" s="128" t="n">
        <x:f>E36</x:f>
        <x:v>565000</x:v>
      </x:c>
    </x:row>
    <x:row r="36" ht="20" customHeight="1">
      <x:c r="A36" s="180" t="str">
        <x:v>Ending Cash</x:v>
      </x:c>
      <x:c r="B36" s="180" t="n">
        <x:f>B35+B34</x:f>
        <x:v>158500</x:v>
      </x:c>
      <x:c r="C36" s="180" t="n">
        <x:f>C35+C34</x:f>
        <x:v>142000</x:v>
      </x:c>
      <x:c r="D36" s="180" t="n">
        <x:f>D35+D34</x:f>
        <x:v>253000</x:v>
      </x:c>
      <x:c r="E36" s="180" t="n">
        <x:f>E35+E34</x:f>
        <x:v>565000</x:v>
      </x:c>
      <x:c r="F36" s="180" t="n">
        <x:f>F35+F34</x:f>
        <x:v>1128000</x:v>
      </x:c>
    </x:row>
    <x:row r="37" ht="20" customHeight="1">
      <x:c r="A37" s="121"/>
      <x:c r="B37" s="121"/>
      <x:c r="C37" s="121"/>
      <x:c r="D37" s="121"/>
      <x:c r="E37" s="121"/>
      <x:c r="F37" s="121"/>
    </x:row>
    <x:row r="38" ht="20" customHeight="1">
      <x:c r="A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B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C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D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E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F38"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row>
    <x:row r="39" ht="20" customHeight="1">
      <x:c r="A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B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C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D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E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F39"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row>
    <x:row r="40" ht="20" customHeight="1">
      <x:c r="A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B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C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D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E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c r="F40" s="134" t="str">
        <x:v>Simplification: EBITDA is used as a pre-tax operating cash proxy; working capital, depreciation, debt service, and taxes are not modeled. Funding is financing, not revenue. This model is appropriate for application-stage planning, not valuation or audited financial reporting.</x:v>
      </x:c>
    </x:row>
  </x:sheetData>
  <x:mergeCells>
    <x:mergeCell ref="A1:F1"/>
    <x:mergeCell ref="A4:F4"/>
    <x:mergeCell ref="A10:F10"/>
    <x:mergeCell ref="A19:F19"/>
    <x:mergeCell ref="A31:F31"/>
    <x:mergeCell ref="A38:F40"/>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7" hidden="0" customWidth="1"/>
    <x:col min="4" max="4" width="17" hidden="0" customWidth="1"/>
    <x:col min="5" max="5" width="19" hidden="0" customWidth="1"/>
    <x:col min="6" max="6" width="21" hidden="0" customWidth="1"/>
  </x:cols>
  <x:sheetData>
    <x:row r="1" ht="34" customHeight="1">
      <x:c r="A1" s="188" t="str">
        <x:v>Unit Economics</x:v>
      </x:c>
      <x:c r="B1" s="188" t="str">
        <x:v>Unit Economics</x:v>
      </x:c>
      <x:c r="C1" s="188" t="str">
        <x:v>Unit Economics</x:v>
      </x:c>
      <x:c r="D1" s="188" t="str">
        <x:v>Unit Economics</x:v>
      </x:c>
      <x:c r="E1" s="188" t="str">
        <x:v>Unit Economics</x:v>
      </x:c>
      <x:c r="F1" s="188" t="str">
        <x:v>Unit Economics</x:v>
      </x:c>
    </x:row>
    <x:row r="2" ht="20" customHeight="1">
      <x:c r="A2" s="121"/>
      <x:c r="B2" s="121"/>
      <x:c r="C2" s="121"/>
      <x:c r="D2" s="121"/>
      <x:c r="E2" s="121"/>
      <x:c r="F2" s="121"/>
    </x:row>
    <x:row r="3" ht="20" customHeight="1">
      <x:c r="A3" s="140" t="str">
        <x:v>Offer</x:v>
      </x:c>
      <x:c r="B3" s="140" t="str">
        <x:v>Unit Price</x:v>
      </x:c>
      <x:c r="C3" s="140" t="str">
        <x:v>Unit COGS</x:v>
      </x:c>
      <x:c r="D3" s="140" t="str">
        <x:v>Unit Gross Profit</x:v>
      </x:c>
      <x:c r="E3" s="140" t="str">
        <x:v>Gross Margin</x:v>
      </x:c>
      <x:c r="F3" s="140" t="str">
        <x:v>Billing</x:v>
      </x:c>
    </x:row>
    <x:row r="4" ht="20" customHeight="1">
      <x:c r="A4" s="121" t="str">
        <x:v>Evidence-review sprint</x:v>
      </x:c>
      <x:c r="B4" s="128" t="n">
        <x:f>'Assumptions'!B7</x:f>
        <x:v>7500</x:v>
      </x:c>
      <x:c r="C4" s="128" t="n">
        <x:f>'Assumptions'!C7</x:f>
        <x:v>1500</x:v>
      </x:c>
      <x:c r="D4" s="128" t="n">
        <x:f>B4-C4</x:f>
        <x:v>6000</x:v>
      </x:c>
      <x:c r="E4" s="129" t="n">
        <x:f>IFERROR(D4/B4,0)</x:f>
        <x:v>0.8</x:v>
      </x:c>
      <x:c r="F4" s="121" t="str">
        <x:f>'Assumptions'!E7</x:f>
        <x:v>One-time</x:v>
      </x:c>
    </x:row>
    <x:row r="5" ht="20" customHeight="1">
      <x:c r="A5" s="121" t="str">
        <x:v>Buyer-controlled replay pilot</x:v>
      </x:c>
      <x:c r="B5" s="128" t="n">
        <x:f>'Assumptions'!B8</x:f>
        <x:v>35000</x:v>
      </x:c>
      <x:c r="C5" s="128" t="n">
        <x:f>'Assumptions'!C8</x:f>
        <x:v>10500</x:v>
      </x:c>
      <x:c r="D5" s="128" t="n">
        <x:f>B5-C5</x:f>
        <x:v>24500</x:v>
      </x:c>
      <x:c r="E5" s="129" t="n">
        <x:f>IFERROR(D5/B5,0)</x:f>
        <x:v>0.7</x:v>
      </x:c>
      <x:c r="F5" s="121" t="str">
        <x:f>'Assumptions'!E8</x:f>
        <x:v>One-time</x:v>
      </x:c>
    </x:row>
    <x:row r="6" ht="20" customHeight="1">
      <x:c r="A6" s="121" t="str">
        <x:v>Annual platform license/support</x:v>
      </x:c>
      <x:c r="B6" s="128" t="n">
        <x:f>'Assumptions'!B9</x:f>
        <x:v>90000</x:v>
      </x:c>
      <x:c r="C6" s="128" t="n">
        <x:f>'Assumptions'!C9</x:f>
        <x:v>18000</x:v>
      </x:c>
      <x:c r="D6" s="128" t="n">
        <x:f>B6-C6</x:f>
        <x:v>72000</x:v>
      </x:c>
      <x:c r="E6" s="129" t="n">
        <x:f>IFERROR(D6/B6,0)</x:f>
        <x:v>0.8</x:v>
      </x:c>
      <x:c r="F6" s="121" t="str">
        <x:f>'Assumptions'!E9</x:f>
        <x:v>Annual</x:v>
      </x:c>
    </x:row>
    <x:row r="7" ht="20" customHeight="1">
      <x:c r="A7" s="121"/>
      <x:c r="B7" s="121"/>
      <x:c r="C7" s="121"/>
      <x:c r="D7" s="121"/>
      <x:c r="E7" s="121"/>
      <x:c r="F7" s="121"/>
    </x:row>
    <x:row r="8" ht="20" customHeight="1">
      <x:c r="A8" s="134" t="str">
        <x:v>Gross margin is calculated from direct delivery costs only. Founder compensation, engineering, sales, legal, cloud overhead, and G&amp;A remain operating expenses in the forecast. Prices and costs are planning assumptions pending founder approval.</x:v>
      </x:c>
      <x:c r="B8" s="134" t="str">
        <x:v>Gross margin is calculated from direct delivery costs only. Founder compensation, engineering, sales, legal, cloud overhead, and G&amp;A remain operating expenses in the forecast. Prices and costs are planning assumptions pending founder approval.</x:v>
      </x:c>
      <x:c r="C8" s="134" t="str">
        <x:v>Gross margin is calculated from direct delivery costs only. Founder compensation, engineering, sales, legal, cloud overhead, and G&amp;A remain operating expenses in the forecast. Prices and costs are planning assumptions pending founder approval.</x:v>
      </x:c>
      <x:c r="D8" s="134" t="str">
        <x:v>Gross margin is calculated from direct delivery costs only. Founder compensation, engineering, sales, legal, cloud overhead, and G&amp;A remain operating expenses in the forecast. Prices and costs are planning assumptions pending founder approval.</x:v>
      </x:c>
      <x:c r="E8" s="134" t="str">
        <x:v>Gross margin is calculated from direct delivery costs only. Founder compensation, engineering, sales, legal, cloud overhead, and G&amp;A remain operating expenses in the forecast. Prices and costs are planning assumptions pending founder approval.</x:v>
      </x:c>
      <x:c r="F8" s="134" t="str">
        <x:v>Gross margin is calculated from direct delivery costs only. Founder compensation, engineering, sales, legal, cloud overhead, and G&amp;A remain operating expenses in the forecast. Prices and costs are planning assumptions pending founder approval.</x:v>
      </x:c>
    </x:row>
    <x:row r="9" ht="20" customHeight="1">
      <x:c r="A9" s="134" t="str">
        <x:v>Gross margin is calculated from direct delivery costs only. Founder compensation, engineering, sales, legal, cloud overhead, and G&amp;A remain operating expenses in the forecast. Prices and costs are planning assumptions pending founder approval.</x:v>
      </x:c>
      <x:c r="B9" s="134" t="str">
        <x:v>Gross margin is calculated from direct delivery costs only. Founder compensation, engineering, sales, legal, cloud overhead, and G&amp;A remain operating expenses in the forecast. Prices and costs are planning assumptions pending founder approval.</x:v>
      </x:c>
      <x:c r="C9" s="134" t="str">
        <x:v>Gross margin is calculated from direct delivery costs only. Founder compensation, engineering, sales, legal, cloud overhead, and G&amp;A remain operating expenses in the forecast. Prices and costs are planning assumptions pending founder approval.</x:v>
      </x:c>
      <x:c r="D9" s="134" t="str">
        <x:v>Gross margin is calculated from direct delivery costs only. Founder compensation, engineering, sales, legal, cloud overhead, and G&amp;A remain operating expenses in the forecast. Prices and costs are planning assumptions pending founder approval.</x:v>
      </x:c>
      <x:c r="E9" s="134" t="str">
        <x:v>Gross margin is calculated from direct delivery costs only. Founder compensation, engineering, sales, legal, cloud overhead, and G&amp;A remain operating expenses in the forecast. Prices and costs are planning assumptions pending founder approval.</x:v>
      </x:c>
      <x:c r="F9" s="134" t="str">
        <x:v>Gross margin is calculated from direct delivery costs only. Founder compensation, engineering, sales, legal, cloud overhead, and G&amp;A remain operating expenses in the forecast. Prices and costs are planning assumptions pending founder approval.</x:v>
      </x:c>
    </x:row>
    <x:row r="10" ht="20" customHeight="1">
      <x:c r="A10" s="134" t="str">
        <x:v>Gross margin is calculated from direct delivery costs only. Founder compensation, engineering, sales, legal, cloud overhead, and G&amp;A remain operating expenses in the forecast. Prices and costs are planning assumptions pending founder approval.</x:v>
      </x:c>
      <x:c r="B10" s="134" t="str">
        <x:v>Gross margin is calculated from direct delivery costs only. Founder compensation, engineering, sales, legal, cloud overhead, and G&amp;A remain operating expenses in the forecast. Prices and costs are planning assumptions pending founder approval.</x:v>
      </x:c>
      <x:c r="C10" s="134" t="str">
        <x:v>Gross margin is calculated from direct delivery costs only. Founder compensation, engineering, sales, legal, cloud overhead, and G&amp;A remain operating expenses in the forecast. Prices and costs are planning assumptions pending founder approval.</x:v>
      </x:c>
      <x:c r="D10" s="134" t="str">
        <x:v>Gross margin is calculated from direct delivery costs only. Founder compensation, engineering, sales, legal, cloud overhead, and G&amp;A remain operating expenses in the forecast. Prices and costs are planning assumptions pending founder approval.</x:v>
      </x:c>
      <x:c r="E10" s="134" t="str">
        <x:v>Gross margin is calculated from direct delivery costs only. Founder compensation, engineering, sales, legal, cloud overhead, and G&amp;A remain operating expenses in the forecast. Prices and costs are planning assumptions pending founder approval.</x:v>
      </x:c>
      <x:c r="F10" s="134" t="str">
        <x:v>Gross margin is calculated from direct delivery costs only. Founder compensation, engineering, sales, legal, cloud overhead, and G&amp;A remain operating expenses in the forecast. Prices and costs are planning assumptions pending founder approval.</x:v>
      </x:c>
    </x:row>
  </x:sheetData>
  <x:mergeCells>
    <x:mergeCell ref="A1:F1"/>
    <x:mergeCell ref="A8:F10"/>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9" hidden="0" customWidth="1"/>
    <x:col min="2" max="2" width="16" hidden="0" customWidth="1"/>
    <x:col min="3" max="3" width="16" hidden="0" customWidth="1"/>
    <x:col min="4" max="4" width="16" hidden="0" customWidth="1"/>
    <x:col min="5" max="5" width="16" hidden="0" customWidth="1"/>
    <x:col min="6" max="6" width="16" hidden="0" customWidth="1"/>
    <x:col min="7" max="7" width="32" hidden="0" customWidth="1"/>
  </x:cols>
  <x:sheetData>
    <x:row r="1" ht="34" customHeight="1">
      <x:c r="A1" s="188" t="str">
        <x:v>Model Checks</x:v>
      </x:c>
      <x:c r="B1" s="188" t="str">
        <x:v>Model Checks</x:v>
      </x:c>
      <x:c r="C1" s="188" t="str">
        <x:v>Model Checks</x:v>
      </x:c>
      <x:c r="D1" s="188" t="str">
        <x:v>Model Checks</x:v>
      </x:c>
      <x:c r="E1" s="188" t="str">
        <x:v>Model Checks</x:v>
      </x:c>
      <x:c r="F1" s="188" t="str">
        <x:v>Model Checks</x:v>
      </x:c>
      <x:c r="G1" s="188" t="str">
        <x:v>Model Checks</x:v>
      </x:c>
    </x:row>
    <x:row r="2" ht="20" customHeight="1">
      <x:c r="A2" s="123" t="str">
        <x:v>MODEL STATUS</x:v>
      </x:c>
      <x:c r="B2" s="185" t="str">
        <x:f>IF(COUNTIF(F6:F12,"FAIL")=0,"PASS","FAIL")</x:f>
        <x:v>PASS</x:v>
      </x:c>
      <x:c r="C2" s="121"/>
      <x:c r="D2" s="121"/>
      <x:c r="E2" s="121"/>
      <x:c r="F2" s="121"/>
      <x:c r="G2" s="121"/>
    </x:row>
    <x:row r="3" ht="20" customHeight="1">
      <x:c r="A3" s="121"/>
      <x:c r="B3" s="121"/>
      <x:c r="C3" s="121"/>
      <x:c r="D3" s="121"/>
      <x:c r="E3" s="121"/>
      <x:c r="F3" s="121"/>
      <x:c r="G3" s="121"/>
    </x:row>
    <x:row r="4" ht="20" customHeight="1">
      <x:c r="A4" s="140" t="str">
        <x:v>Check</x:v>
      </x:c>
      <x:c r="B4" s="140" t="str">
        <x:v>Actual</x:v>
      </x:c>
      <x:c r="C4" s="140" t="str">
        <x:v>Expected</x:v>
      </x:c>
      <x:c r="D4" s="140" t="str">
        <x:v>Difference</x:v>
      </x:c>
      <x:c r="E4" s="140" t="str">
        <x:v>Tolerance</x:v>
      </x:c>
      <x:c r="F4" s="140" t="str">
        <x:v>Status</x:v>
      </x:c>
      <x:c r="G4" s="140" t="str">
        <x:v>Where to fix</x:v>
      </x:c>
    </x:row>
    <x:row r="5" ht="20" customHeight="1">
      <x:c r="A5" s="121"/>
      <x:c r="B5" s="121"/>
      <x:c r="C5" s="121"/>
      <x:c r="D5" s="121"/>
      <x:c r="E5" s="121"/>
      <x:c r="F5" s="121"/>
      <x:c r="G5" s="121"/>
    </x:row>
    <x:row r="6" ht="20" customHeight="1">
      <x:c r="A6" s="121" t="str">
        <x:v>Year 1 revenue components tie</x:v>
      </x:c>
      <x:c r="B6" s="186" t="n">
        <x:f>'Forecast'!B8-SUM('Forecast'!B5:B7)</x:f>
        <x:v>0</x:v>
      </x:c>
      <x:c r="C6" s="186" t="n">
        <x:v>0</x:v>
      </x:c>
      <x:c r="D6" s="186" t="n">
        <x:f>B6-C6</x:f>
        <x:v>0</x:v>
      </x:c>
      <x:c r="E6" s="186" t="n">
        <x:v>0.01</x:v>
      </x:c>
      <x:c r="F6" s="185" t="str">
        <x:f>IF(ABS(D6)&lt;=E6,"PASS","FAIL")</x:f>
        <x:v>PASS</x:v>
      </x:c>
      <x:c r="G6" s="121" t="str">
        <x:v>Forecast revenue formulas</x:v>
      </x:c>
    </x:row>
    <x:row r="7" ht="20" customHeight="1">
      <x:c r="A7" s="121" t="str">
        <x:v>Year 5 revenue components tie</x:v>
      </x:c>
      <x:c r="B7" s="186" t="n">
        <x:f>'Forecast'!F8-SUM('Forecast'!F5:F7)</x:f>
        <x:v>0</x:v>
      </x:c>
      <x:c r="C7" s="186" t="n">
        <x:v>0</x:v>
      </x:c>
      <x:c r="D7" s="186" t="n">
        <x:f>B7-C7</x:f>
        <x:v>0</x:v>
      </x:c>
      <x:c r="E7" s="186" t="n">
        <x:v>0.01</x:v>
      </x:c>
      <x:c r="F7" s="185" t="str">
        <x:f>IF(ABS(D7)&lt;=E7,"PASS","FAIL")</x:f>
        <x:v>PASS</x:v>
      </x:c>
      <x:c r="G7" s="121" t="str">
        <x:v>Forecast revenue formulas</x:v>
      </x:c>
    </x:row>
    <x:row r="8" ht="20" customHeight="1">
      <x:c r="A8" s="121" t="str">
        <x:v>Year 1 gross profit ties</x:v>
      </x:c>
      <x:c r="B8" s="186" t="n">
        <x:f>'Forecast'!B16-('Forecast'!B8-'Forecast'!B14)</x:f>
        <x:v>0</x:v>
      </x:c>
      <x:c r="C8" s="186" t="n">
        <x:v>0</x:v>
      </x:c>
      <x:c r="D8" s="186" t="n">
        <x:f>B8-C8</x:f>
        <x:v>0</x:v>
      </x:c>
      <x:c r="E8" s="186" t="n">
        <x:v>0.01</x:v>
      </x:c>
      <x:c r="F8" s="185" t="str">
        <x:f>IF(ABS(D8)&lt;=E8,"PASS","FAIL")</x:f>
        <x:v>PASS</x:v>
      </x:c>
      <x:c r="G8" s="121" t="str">
        <x:v>Forecast gross profit formulas</x:v>
      </x:c>
    </x:row>
    <x:row r="9" ht="20" customHeight="1">
      <x:c r="A9" s="121" t="str">
        <x:v>Year 1 cash roll-forward ties</x:v>
      </x:c>
      <x:c r="B9" s="186" t="n">
        <x:f>'Forecast'!B36-('Forecast'!B35+'Forecast'!B34)</x:f>
        <x:v>0</x:v>
      </x:c>
      <x:c r="C9" s="186" t="n">
        <x:v>0</x:v>
      </x:c>
      <x:c r="D9" s="186" t="n">
        <x:f>B9-C9</x:f>
        <x:v>0</x:v>
      </x:c>
      <x:c r="E9" s="186" t="n">
        <x:v>0.01</x:v>
      </x:c>
      <x:c r="F9" s="185" t="str">
        <x:f>IF(ABS(D9)&lt;=E9,"PASS","FAIL")</x:f>
        <x:v>PASS</x:v>
      </x:c>
      <x:c r="G9" s="121" t="str">
        <x:v>Forecast cash formulas</x:v>
      </x:c>
    </x:row>
    <x:row r="10" ht="20" customHeight="1">
      <x:c r="A10" s="121" t="str">
        <x:v>Year 5 cash roll-forward ties</x:v>
      </x:c>
      <x:c r="B10" s="186" t="n">
        <x:f>'Forecast'!F36-('Forecast'!F35+'Forecast'!F34)</x:f>
        <x:v>0</x:v>
      </x:c>
      <x:c r="C10" s="186" t="n">
        <x:v>0</x:v>
      </x:c>
      <x:c r="D10" s="186" t="n">
        <x:f>B10-C10</x:f>
        <x:v>0</x:v>
      </x:c>
      <x:c r="E10" s="186" t="n">
        <x:v>0.01</x:v>
      </x:c>
      <x:c r="F10" s="185" t="str">
        <x:f>IF(ABS(D10)&lt;=E10,"PASS","FAIL")</x:f>
        <x:v>PASS</x:v>
      </x:c>
      <x:c r="G10" s="121" t="str">
        <x:v>Forecast cash formulas</x:v>
      </x:c>
    </x:row>
    <x:row r="11" ht="20" customHeight="1">
      <x:c r="A11" s="121" t="str">
        <x:v>Gross margin remains between 0% and 100%</x:v>
      </x:c>
      <x:c r="B11" s="129" t="n">
        <x:f>MIN('Forecast'!B17:F17)</x:f>
        <x:v>0.7461538461538462</x:v>
      </x:c>
      <x:c r="C11" s="121" t="str">
        <x:v>0% to 100%</x:v>
      </x:c>
      <x:c r="D11" s="121" t="n">
        <x:f>IF(AND(B11&gt;=0,B11&lt;=1),0,1)</x:f>
        <x:v>0</x:v>
      </x:c>
      <x:c r="E11" s="121" t="n">
        <x:v>0</x:v>
      </x:c>
      <x:c r="F11" s="185" t="str">
        <x:f>IF(ABS(D11)&lt;=E11,"PASS","FAIL")</x:f>
        <x:v>PASS</x:v>
      </x:c>
      <x:c r="G11" s="121" t="str">
        <x:v>Assumptions pricing/direct costs</x:v>
      </x:c>
    </x:row>
    <x:row r="12" ht="20" customHeight="1">
      <x:c r="A12" s="121" t="str">
        <x:v>No negative unit volumes</x:v>
      </x:c>
      <x:c r="B12" s="121" t="n">
        <x:f>MIN('Assumptions'!B13:F15)</x:f>
        <x:v>0</x:v>
      </x:c>
      <x:c r="C12" s="121" t="str">
        <x:v>0 or greater</x:v>
      </x:c>
      <x:c r="D12" s="121" t="n">
        <x:f>IF(B12&gt;=0,0,ABS(B12))</x:f>
        <x:v>0</x:v>
      </x:c>
      <x:c r="E12" s="121" t="n">
        <x:v>0</x:v>
      </x:c>
      <x:c r="F12" s="185" t="str">
        <x:f>IF(ABS(D12)&lt;=E12,"PASS","FAIL")</x:f>
        <x:v>PASS</x:v>
      </x:c>
      <x:c r="G12" s="121" t="str">
        <x:v>Assumptions annual unit volumes</x:v>
      </x:c>
    </x:row>
    <x:row r="13" ht="20" customHeight="1">
      <x:c r="A13" s="121"/>
      <x:c r="B13" s="121"/>
      <x:c r="C13" s="121"/>
      <x:c r="D13" s="121"/>
      <x:c r="E13" s="121"/>
      <x:c r="F13" s="121"/>
      <x:c r="G13" s="121"/>
    </x:row>
    <x:row r="14" ht="20" customHeight="1">
      <x:c r="A14" s="121"/>
      <x:c r="B14" s="121"/>
      <x:c r="C14" s="121"/>
      <x:c r="D14" s="121"/>
      <x:c r="E14" s="121"/>
      <x:c r="F14" s="121"/>
      <x:c r="G14" s="121"/>
    </x:row>
    <x:row r="15" ht="20" customHeight="1">
      <x:c r="A15" s="134" t="str">
        <x:v>A PASS means the workbook's arithmetic and roll-forwards tie. It does not approve the commercial assumptions. Founder approval remains required for price, cost, volume, expense, funding, and raise assumptions before portal upload.</x:v>
      </x:c>
      <x:c r="B15" s="134" t="str">
        <x:v>A PASS means the workbook's arithmetic and roll-forwards tie. It does not approve the commercial assumptions. Founder approval remains required for price, cost, volume, expense, funding, and raise assumptions before portal upload.</x:v>
      </x:c>
      <x:c r="C15" s="134" t="str">
        <x:v>A PASS means the workbook's arithmetic and roll-forwards tie. It does not approve the commercial assumptions. Founder approval remains required for price, cost, volume, expense, funding, and raise assumptions before portal upload.</x:v>
      </x:c>
      <x:c r="D15" s="134" t="str">
        <x:v>A PASS means the workbook's arithmetic and roll-forwards tie. It does not approve the commercial assumptions. Founder approval remains required for price, cost, volume, expense, funding, and raise assumptions before portal upload.</x:v>
      </x:c>
      <x:c r="E15" s="134" t="str">
        <x:v>A PASS means the workbook's arithmetic and roll-forwards tie. It does not approve the commercial assumptions. Founder approval remains required for price, cost, volume, expense, funding, and raise assumptions before portal upload.</x:v>
      </x:c>
      <x:c r="F15" s="134" t="str">
        <x:v>A PASS means the workbook's arithmetic and roll-forwards tie. It does not approve the commercial assumptions. Founder approval remains required for price, cost, volume, expense, funding, and raise assumptions before portal upload.</x:v>
      </x:c>
      <x:c r="G15" s="134" t="str">
        <x:v>A PASS means the workbook's arithmetic and roll-forwards tie. It does not approve the commercial assumptions. Founder approval remains required for price, cost, volume, expense, funding, and raise assumptions before portal upload.</x:v>
      </x:c>
    </x:row>
    <x:row r="16" ht="20" customHeight="1">
      <x:c r="A16" s="134" t="str">
        <x:v>A PASS means the workbook's arithmetic and roll-forwards tie. It does not approve the commercial assumptions. Founder approval remains required for price, cost, volume, expense, funding, and raise assumptions before portal upload.</x:v>
      </x:c>
      <x:c r="B16" s="134" t="str">
        <x:v>A PASS means the workbook's arithmetic and roll-forwards tie. It does not approve the commercial assumptions. Founder approval remains required for price, cost, volume, expense, funding, and raise assumptions before portal upload.</x:v>
      </x:c>
      <x:c r="C16" s="134" t="str">
        <x:v>A PASS means the workbook's arithmetic and roll-forwards tie. It does not approve the commercial assumptions. Founder approval remains required for price, cost, volume, expense, funding, and raise assumptions before portal upload.</x:v>
      </x:c>
      <x:c r="D16" s="134" t="str">
        <x:v>A PASS means the workbook's arithmetic and roll-forwards tie. It does not approve the commercial assumptions. Founder approval remains required for price, cost, volume, expense, funding, and raise assumptions before portal upload.</x:v>
      </x:c>
      <x:c r="E16" s="134" t="str">
        <x:v>A PASS means the workbook's arithmetic and roll-forwards tie. It does not approve the commercial assumptions. Founder approval remains required for price, cost, volume, expense, funding, and raise assumptions before portal upload.</x:v>
      </x:c>
      <x:c r="F16" s="134" t="str">
        <x:v>A PASS means the workbook's arithmetic and roll-forwards tie. It does not approve the commercial assumptions. Founder approval remains required for price, cost, volume, expense, funding, and raise assumptions before portal upload.</x:v>
      </x:c>
      <x:c r="G16" s="134" t="str">
        <x:v>A PASS means the workbook's arithmetic and roll-forwards tie. It does not approve the commercial assumptions. Founder approval remains required for price, cost, volume, expense, funding, and raise assumptions before portal upload.</x:v>
      </x:c>
    </x:row>
    <x:row r="17" ht="20" customHeight="1">
      <x:c r="A17" s="134" t="str">
        <x:v>A PASS means the workbook's arithmetic and roll-forwards tie. It does not approve the commercial assumptions. Founder approval remains required for price, cost, volume, expense, funding, and raise assumptions before portal upload.</x:v>
      </x:c>
      <x:c r="B17" s="134" t="str">
        <x:v>A PASS means the workbook's arithmetic and roll-forwards tie. It does not approve the commercial assumptions. Founder approval remains required for price, cost, volume, expense, funding, and raise assumptions before portal upload.</x:v>
      </x:c>
      <x:c r="C17" s="134" t="str">
        <x:v>A PASS means the workbook's arithmetic and roll-forwards tie. It does not approve the commercial assumptions. Founder approval remains required for price, cost, volume, expense, funding, and raise assumptions before portal upload.</x:v>
      </x:c>
      <x:c r="D17" s="134" t="str">
        <x:v>A PASS means the workbook's arithmetic and roll-forwards tie. It does not approve the commercial assumptions. Founder approval remains required for price, cost, volume, expense, funding, and raise assumptions before portal upload.</x:v>
      </x:c>
      <x:c r="E17" s="134" t="str">
        <x:v>A PASS means the workbook's arithmetic and roll-forwards tie. It does not approve the commercial assumptions. Founder approval remains required for price, cost, volume, expense, funding, and raise assumptions before portal upload.</x:v>
      </x:c>
      <x:c r="F17" s="134" t="str">
        <x:v>A PASS means the workbook's arithmetic and roll-forwards tie. It does not approve the commercial assumptions. Founder approval remains required for price, cost, volume, expense, funding, and raise assumptions before portal upload.</x:v>
      </x:c>
      <x:c r="G17" s="134" t="str">
        <x:v>A PASS means the workbook's arithmetic and roll-forwards tie. It does not approve the commercial assumptions. Founder approval remains required for price, cost, volume, expense, funding, and raise assumptions before portal upload.</x:v>
      </x:c>
    </x:row>
    <x:row r="18" ht="20" customHeight="1">
      <x:c r="A18" s="134" t="str">
        <x:v>A PASS means the workbook's arithmetic and roll-forwards tie. It does not approve the commercial assumptions. Founder approval remains required for price, cost, volume, expense, funding, and raise assumptions before portal upload.</x:v>
      </x:c>
      <x:c r="B18" s="134" t="str">
        <x:v>A PASS means the workbook's arithmetic and roll-forwards tie. It does not approve the commercial assumptions. Founder approval remains required for price, cost, volume, expense, funding, and raise assumptions before portal upload.</x:v>
      </x:c>
      <x:c r="C18" s="134" t="str">
        <x:v>A PASS means the workbook's arithmetic and roll-forwards tie. It does not approve the commercial assumptions. Founder approval remains required for price, cost, volume, expense, funding, and raise assumptions before portal upload.</x:v>
      </x:c>
      <x:c r="D18" s="134" t="str">
        <x:v>A PASS means the workbook's arithmetic and roll-forwards tie. It does not approve the commercial assumptions. Founder approval remains required for price, cost, volume, expense, funding, and raise assumptions before portal upload.</x:v>
      </x:c>
      <x:c r="E18" s="134" t="str">
        <x:v>A PASS means the workbook's arithmetic and roll-forwards tie. It does not approve the commercial assumptions. Founder approval remains required for price, cost, volume, expense, funding, and raise assumptions before portal upload.</x:v>
      </x:c>
      <x:c r="F18" s="134" t="str">
        <x:v>A PASS means the workbook's arithmetic and roll-forwards tie. It does not approve the commercial assumptions. Founder approval remains required for price, cost, volume, expense, funding, and raise assumptions before portal upload.</x:v>
      </x:c>
      <x:c r="G18" s="134" t="str">
        <x:v>A PASS means the workbook's arithmetic and roll-forwards tie. It does not approve the commercial assumptions. Founder approval remains required for price, cost, volume, expense, funding, and raise assumptions before portal upload.</x:v>
      </x:c>
    </x:row>
  </x:sheetData>
  <x:mergeCells>
    <x:mergeCell ref="A1:G1"/>
    <x:mergeCell ref="A15:G18"/>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32" hidden="0" customWidth="1"/>
    <x:col min="3" max="3" width="18" hidden="0" customWidth="1"/>
    <x:col min="4" max="4" width="18" hidden="0" customWidth="1"/>
    <x:col min="5" max="5" width="18" hidden="0" customWidth="1"/>
    <x:col min="6" max="6" width="55" hidden="0" customWidth="1"/>
    <x:col min="7" max="7" width="18" hidden="0" customWidth="1"/>
    <x:col min="8" max="8" width="38" hidden="0" customWidth="1"/>
  </x:cols>
  <x:sheetData>
    <x:row r="1" ht="34" customHeight="1">
      <x:c r="A1" s="188" t="str">
        <x:v>Sources and Assumption Audit</x:v>
      </x:c>
      <x:c r="B1" s="188" t="str">
        <x:v>Sources and Assumption Audit</x:v>
      </x:c>
      <x:c r="C1" s="188" t="str">
        <x:v>Sources and Assumption Audit</x:v>
      </x:c>
      <x:c r="D1" s="188" t="str">
        <x:v>Sources and Assumption Audit</x:v>
      </x:c>
      <x:c r="E1" s="188" t="str">
        <x:v>Sources and Assumption Audit</x:v>
      </x:c>
      <x:c r="F1" s="188" t="str">
        <x:v>Sources and Assumption Audit</x:v>
      </x:c>
      <x:c r="G1" s="188" t="str">
        <x:v>Sources and Assumption Audit</x:v>
      </x:c>
      <x:c r="H1" s="188" t="str">
        <x:v>Sources and Assumption Audit</x:v>
      </x:c>
    </x:row>
    <x:row r="2" ht="20" customHeight="1">
      <x:c r="A2" s="121"/>
      <x:c r="B2" s="121"/>
      <x:c r="C2" s="121"/>
      <x:c r="D2" s="121"/>
      <x:c r="E2" s="121"/>
      <x:c r="F2" s="121"/>
      <x:c r="G2" s="121"/>
      <x:c r="H2" s="121"/>
    </x:row>
    <x:row r="3" ht="20" customHeight="1">
      <x:c r="A3" s="140" t="str">
        <x:v>Item</x:v>
      </x:c>
      <x:c r="B3" s="140" t="str">
        <x:v>Value</x:v>
      </x:c>
      <x:c r="C3" s="140" t="str">
        <x:v>Units</x:v>
      </x:c>
      <x:c r="D3" s="140" t="str">
        <x:v>As-of</x:v>
      </x:c>
      <x:c r="E3" s="140" t="str">
        <x:v>Source Type</x:v>
      </x:c>
      <x:c r="F3" s="140" t="str">
        <x:v>Source / Ref</x:v>
      </x:c>
      <x:c r="G3" s="140" t="str">
        <x:v>Owner</x:v>
      </x:c>
      <x:c r="H3" s="140" t="str">
        <x:v>Notes</x:v>
      </x:c>
    </x:row>
    <x:row r="4" ht="20" customHeight="1">
      <x:c r="A4" s="122" t="str">
        <x:v>3686 application deadline</x:v>
      </x:c>
      <x:c r="B4" s="122" t="str">
        <x:v>2026-08-13 11:59 PM CDT</x:v>
      </x:c>
      <x:c r="C4" s="122" t="str">
        <x:v>date/time</x:v>
      </x:c>
      <x:c r="D4" s="122" t="str">
        <x:v>2026-07-17</x:v>
      </x:c>
      <x:c r="E4" s="122" t="str">
        <x:v>Live portal</x:v>
      </x:c>
      <x:c r="F4" s="122" t="str">
        <x:v>https://airtable.com/app6GRZNbU72OmaK1/pagudvfO1hH7SmzBl/form</x:v>
      </x:c>
      <x:c r="G4" s="122" t="str">
        <x:v>Launch Tennessee</x:v>
      </x:c>
      <x:c r="H4" s="122" t="str">
        <x:v>Observed without saving or submitting</x:v>
      </x:c>
    </x:row>
    <x:row r="5" ht="20" customHeight="1">
      <x:c r="A5" s="122" t="str">
        <x:v>Financial attachment requirement</x:v>
      </x:c>
      <x:c r="B5" s="122" t="str">
        <x:v>Pricing, cost of revenue, gross margin, 2-5 year projections</x:v>
      </x:c>
      <x:c r="C5" s="122" t="str">
        <x:v>requirement</x:v>
      </x:c>
      <x:c r="D5" s="122" t="str">
        <x:v>2026-07-17</x:v>
      </x:c>
      <x:c r="E5" s="122" t="str">
        <x:v>Live portal</x:v>
      </x:c>
      <x:c r="F5" s="122" t="str">
        <x:v>Same form as above</x:v>
      </x:c>
      <x:c r="G5" s="122" t="str">
        <x:v>Launch Tennessee</x:v>
      </x:c>
      <x:c r="H5" s="122" t="str">
        <x:v>Required upload</x:v>
      </x:c>
    </x:row>
    <x:row r="6" ht="20" customHeight="1">
      <x:c r="A6" s="122" t="str">
        <x:v>Unit pricing</x:v>
      </x:c>
      <x:c r="B6" s="122" t="str">
        <x:v>See Assumptions B7:B9</x:v>
      </x:c>
      <x:c r="C6" s="122" t="str">
        <x:v>USD</x:v>
      </x:c>
      <x:c r="D6" s="122" t="str">
        <x:v>2026-07-17</x:v>
      </x:c>
      <x:c r="E6" s="122" t="str">
        <x:v>Internal planning assumption</x:v>
      </x:c>
      <x:c r="F6" s="122" t="str">
        <x:v>Assumptions sheet</x:v>
      </x:c>
      <x:c r="G6" s="122" t="str">
        <x:v>Founder</x:v>
      </x:c>
      <x:c r="H6" s="122" t="str">
        <x:v>Not an approved quote; review required</x:v>
      </x:c>
    </x:row>
    <x:row r="7" ht="20" customHeight="1">
      <x:c r="A7" s="122" t="str">
        <x:v>Direct delivery costs</x:v>
      </x:c>
      <x:c r="B7" s="122" t="str">
        <x:v>See Assumptions C7:C9</x:v>
      </x:c>
      <x:c r="C7" s="122" t="str">
        <x:v>USD</x:v>
      </x:c>
      <x:c r="D7" s="122" t="str">
        <x:v>2026-07-17</x:v>
      </x:c>
      <x:c r="E7" s="122" t="str">
        <x:v>Internal planning assumption</x:v>
      </x:c>
      <x:c r="F7" s="122" t="str">
        <x:v>Assumptions sheet</x:v>
      </x:c>
      <x:c r="G7" s="122" t="str">
        <x:v>Founder</x:v>
      </x:c>
      <x:c r="H7" s="122" t="str">
        <x:v>Not historical actuals; review required</x:v>
      </x:c>
    </x:row>
    <x:row r="8" ht="20" customHeight="1">
      <x:c r="A8" s="122" t="str">
        <x:v>Annual volumes</x:v>
      </x:c>
      <x:c r="B8" s="122" t="str">
        <x:v>See Assumptions B13:F15</x:v>
      </x:c>
      <x:c r="C8" s="122" t="str">
        <x:v>units</x:v>
      </x:c>
      <x:c r="D8" s="122" t="str">
        <x:v>2026-07-17</x:v>
      </x:c>
      <x:c r="E8" s="122" t="str">
        <x:v>Internal planning assumption</x:v>
      </x:c>
      <x:c r="F8" s="122" t="str">
        <x:v>Assumptions sheet</x:v>
      </x:c>
      <x:c r="G8" s="122" t="str">
        <x:v>Founder</x:v>
      </x:c>
      <x:c r="H8" s="122" t="str">
        <x:v>No booked customers are implied</x:v>
      </x:c>
    </x:row>
    <x:row r="9" ht="20" customHeight="1">
      <x:c r="A9" s="122" t="str">
        <x:v>Operating expenses</x:v>
      </x:c>
      <x:c r="B9" s="122" t="str">
        <x:v>See Assumptions B19:F24</x:v>
      </x:c>
      <x:c r="C9" s="122" t="str">
        <x:v>USD</x:v>
      </x:c>
      <x:c r="D9" s="122" t="str">
        <x:v>2026-07-17</x:v>
      </x:c>
      <x:c r="E9" s="122" t="str">
        <x:v>Internal planning assumption</x:v>
      </x:c>
      <x:c r="F9" s="122" t="str">
        <x:v>Assumptions sheet</x:v>
      </x:c>
      <x:c r="G9" s="122" t="str">
        <x:v>Founder</x:v>
      </x:c>
      <x:c r="H9" s="122" t="str">
        <x:v>Forecast only</x:v>
      </x:c>
    </x:row>
    <x:row r="10" ht="20" customHeight="1">
      <x:c r="A10" s="122" t="str">
        <x:v>Illustrative external funding</x:v>
      </x:c>
      <x:c r="B10" s="122" t="str">
        <x:v>See Assumptions B28:F28</x:v>
      </x:c>
      <x:c r="C10" s="122" t="str">
        <x:v>USD</x:v>
      </x:c>
      <x:c r="D10" s="122" t="str">
        <x:v>2026-07-17</x:v>
      </x:c>
      <x:c r="E10" s="122" t="str">
        <x:v>Internal planning assumption</x:v>
      </x:c>
      <x:c r="F10" s="122" t="str">
        <x:v>Assumptions sheet</x:v>
      </x:c>
      <x:c r="G10" s="122" t="str">
        <x:v>Founder</x:v>
      </x:c>
      <x:c r="H10" s="122" t="str">
        <x:v>Not committed, awarded, or revenue</x:v>
      </x:c>
    </x:row>
  </x:sheetData>
  <x:mergeCells>
    <x:mergeCell ref="A1:H1"/>
  </x:mergeCells>
  <x:pageMargins left="0.7" right="0.7" top="0.75" bottom="0.75" header="0.3" footer="0.3"/>
</x:worksheet>
</file>